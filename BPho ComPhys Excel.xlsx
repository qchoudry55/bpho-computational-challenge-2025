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/>
  <mc:AlternateContent xmlns:mc="http://schemas.openxmlformats.org/markup-compatibility/2006">
    <mc:Choice Requires="x15">
      <x15ac:absPath xmlns:x15ac="http://schemas.microsoft.com/office/spreadsheetml/2010/11/ac" url="C:\Qasim\Computational Physics Challenge\"/>
    </mc:Choice>
  </mc:AlternateContent>
  <xr:revisionPtr revIDLastSave="0" documentId="8_{B78BC37F-B146-433A-8796-D26A23ADE15F}" xr6:coauthVersionLast="47" xr6:coauthVersionMax="47" xr10:uidLastSave="{00000000-0000-0000-0000-000000000000}"/>
  <bookViews>
    <workbookView xWindow="-108" yWindow="-108" windowWidth="23256" windowHeight="12576" tabRatio="767" firstSheet="4" activeTab="4" xr2:uid="{B174204A-29F3-425E-B167-6F4E80593912}"/>
  </bookViews>
  <sheets>
    <sheet name="Challenge 2" sheetId="3" r:id="rId1"/>
    <sheet name="Challenge 11a" sheetId="8" r:id="rId2"/>
    <sheet name="Challenge 11b" sheetId="10" r:id="rId3"/>
    <sheet name="Challenge 11c" sheetId="11" r:id="rId4"/>
    <sheet name="Challenge11d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8" l="1"/>
  <c r="H96" i="8"/>
  <c r="I89" i="8"/>
  <c r="F86" i="8"/>
  <c r="I96" i="8"/>
  <c r="H82" i="8"/>
  <c r="I49" i="8"/>
  <c r="E16" i="8"/>
  <c r="F12" i="10"/>
  <c r="C2" i="3"/>
  <c r="BX3" i="15"/>
  <c r="BX4" i="15"/>
  <c r="BX5" i="15"/>
  <c r="BX6" i="15"/>
  <c r="BX7" i="15"/>
  <c r="BX8" i="15"/>
  <c r="BX9" i="15"/>
  <c r="BX10" i="15"/>
  <c r="BX11" i="15"/>
  <c r="BX12" i="15"/>
  <c r="BX13" i="15"/>
  <c r="BX14" i="15"/>
  <c r="BX15" i="15"/>
  <c r="BX16" i="15"/>
  <c r="BX17" i="15"/>
  <c r="BX18" i="15"/>
  <c r="BX19" i="15"/>
  <c r="BX20" i="15"/>
  <c r="BX21" i="15"/>
  <c r="BX22" i="15"/>
  <c r="BX23" i="15"/>
  <c r="BX24" i="15"/>
  <c r="BX25" i="15"/>
  <c r="BX26" i="15"/>
  <c r="BX27" i="15"/>
  <c r="BX28" i="15"/>
  <c r="BX29" i="15"/>
  <c r="BX30" i="15"/>
  <c r="BX31" i="15"/>
  <c r="BX32" i="15"/>
  <c r="BX33" i="15"/>
  <c r="BX34" i="15"/>
  <c r="BX35" i="15"/>
  <c r="BX36" i="15"/>
  <c r="BX37" i="15"/>
  <c r="BX38" i="15"/>
  <c r="BX39" i="15"/>
  <c r="BX40" i="15"/>
  <c r="BX41" i="15"/>
  <c r="BX42" i="15"/>
  <c r="BX43" i="15"/>
  <c r="BX44" i="15"/>
  <c r="BX45" i="15"/>
  <c r="BX46" i="15"/>
  <c r="BX47" i="15"/>
  <c r="BX48" i="15"/>
  <c r="BX49" i="15"/>
  <c r="BX50" i="15"/>
  <c r="BX51" i="15"/>
  <c r="BX52" i="15"/>
  <c r="BX53" i="15"/>
  <c r="BX54" i="15"/>
  <c r="BX55" i="15"/>
  <c r="BX56" i="15"/>
  <c r="BX57" i="15"/>
  <c r="BX58" i="15"/>
  <c r="BX59" i="15"/>
  <c r="BX60" i="15"/>
  <c r="BX61" i="15"/>
  <c r="BX62" i="15"/>
  <c r="BX63" i="15"/>
  <c r="BX64" i="15"/>
  <c r="BX65" i="15"/>
  <c r="BX66" i="15"/>
  <c r="BX67" i="15"/>
  <c r="BX68" i="15"/>
  <c r="BX69" i="15"/>
  <c r="BX70" i="15"/>
  <c r="BX71" i="15"/>
  <c r="BX72" i="15"/>
  <c r="BX73" i="15"/>
  <c r="BX74" i="15"/>
  <c r="BW3" i="15"/>
  <c r="BW4" i="15"/>
  <c r="BW5" i="15"/>
  <c r="BW6" i="15"/>
  <c r="BW7" i="15"/>
  <c r="BW8" i="15"/>
  <c r="BW9" i="15"/>
  <c r="BW10" i="15"/>
  <c r="BW11" i="15"/>
  <c r="BW12" i="15"/>
  <c r="BW13" i="15"/>
  <c r="BW14" i="15"/>
  <c r="BW15" i="15"/>
  <c r="BW16" i="15"/>
  <c r="BW17" i="15"/>
  <c r="BW18" i="15"/>
  <c r="BW19" i="15"/>
  <c r="BW20" i="15"/>
  <c r="BW21" i="15"/>
  <c r="BW22" i="15"/>
  <c r="BW23" i="15"/>
  <c r="BW24" i="15"/>
  <c r="BW25" i="15"/>
  <c r="BW26" i="15"/>
  <c r="BW27" i="15"/>
  <c r="BW28" i="15"/>
  <c r="BW29" i="15"/>
  <c r="BW30" i="15"/>
  <c r="BW31" i="15"/>
  <c r="BW32" i="15"/>
  <c r="BW33" i="15"/>
  <c r="BW34" i="15"/>
  <c r="BW35" i="15"/>
  <c r="BW36" i="15"/>
  <c r="BW37" i="15"/>
  <c r="BW38" i="15"/>
  <c r="BW39" i="15"/>
  <c r="BW40" i="15"/>
  <c r="BW41" i="15"/>
  <c r="BW42" i="15"/>
  <c r="BW43" i="15"/>
  <c r="BW44" i="15"/>
  <c r="BW45" i="15"/>
  <c r="BW46" i="15"/>
  <c r="BW47" i="15"/>
  <c r="BW48" i="15"/>
  <c r="BW49" i="15"/>
  <c r="BW50" i="15"/>
  <c r="BW51" i="15"/>
  <c r="BW52" i="15"/>
  <c r="BW53" i="15"/>
  <c r="BW54" i="15"/>
  <c r="BW55" i="15"/>
  <c r="BW56" i="15"/>
  <c r="BW57" i="15"/>
  <c r="BW58" i="15"/>
  <c r="BW59" i="15"/>
  <c r="BW60" i="15"/>
  <c r="BW61" i="15"/>
  <c r="BW62" i="15"/>
  <c r="BW63" i="15"/>
  <c r="BW64" i="15"/>
  <c r="BW65" i="15"/>
  <c r="BW66" i="15"/>
  <c r="BW67" i="15"/>
  <c r="BW68" i="15"/>
  <c r="BW69" i="15"/>
  <c r="BW70" i="15"/>
  <c r="BW71" i="15"/>
  <c r="BW72" i="15"/>
  <c r="BW73" i="15"/>
  <c r="BW74" i="15"/>
  <c r="BW2" i="15"/>
  <c r="BV3" i="15"/>
  <c r="BV4" i="15"/>
  <c r="BV5" i="15"/>
  <c r="BV6" i="15"/>
  <c r="BV7" i="15"/>
  <c r="BV8" i="15"/>
  <c r="BV9" i="15"/>
  <c r="BV10" i="15"/>
  <c r="BV11" i="15"/>
  <c r="BV12" i="15"/>
  <c r="BV13" i="15"/>
  <c r="BV14" i="15"/>
  <c r="BV15" i="15"/>
  <c r="BV16" i="15"/>
  <c r="BV17" i="15"/>
  <c r="BV18" i="15"/>
  <c r="BV19" i="15"/>
  <c r="BV20" i="15"/>
  <c r="BV21" i="15"/>
  <c r="BV22" i="15"/>
  <c r="BV23" i="15"/>
  <c r="BV24" i="15"/>
  <c r="BV25" i="15"/>
  <c r="BV26" i="15"/>
  <c r="BV27" i="15"/>
  <c r="BV28" i="15"/>
  <c r="BV29" i="15"/>
  <c r="BV30" i="15"/>
  <c r="BV31" i="15"/>
  <c r="BV32" i="15"/>
  <c r="BV33" i="15"/>
  <c r="BV34" i="15"/>
  <c r="BV35" i="15"/>
  <c r="BV36" i="15"/>
  <c r="BV37" i="15"/>
  <c r="BV38" i="15"/>
  <c r="BV39" i="15"/>
  <c r="BV40" i="15"/>
  <c r="BV41" i="15"/>
  <c r="BV42" i="15"/>
  <c r="BV43" i="15"/>
  <c r="BV44" i="15"/>
  <c r="BV45" i="15"/>
  <c r="BV46" i="15"/>
  <c r="BV47" i="15"/>
  <c r="BV48" i="15"/>
  <c r="BV49" i="15"/>
  <c r="BV50" i="15"/>
  <c r="BV51" i="15"/>
  <c r="BV52" i="15"/>
  <c r="BV53" i="15"/>
  <c r="BV54" i="15"/>
  <c r="BV55" i="15"/>
  <c r="BV56" i="15"/>
  <c r="BV57" i="15"/>
  <c r="BV58" i="15"/>
  <c r="BV59" i="15"/>
  <c r="BV60" i="15"/>
  <c r="BV61" i="15"/>
  <c r="BV62" i="15"/>
  <c r="BV63" i="15"/>
  <c r="BV64" i="15"/>
  <c r="BV65" i="15"/>
  <c r="BV66" i="15"/>
  <c r="BV67" i="15"/>
  <c r="BV68" i="15"/>
  <c r="BV69" i="15"/>
  <c r="BV70" i="15"/>
  <c r="BV71" i="15"/>
  <c r="BV72" i="15"/>
  <c r="BV73" i="15"/>
  <c r="BV74" i="15"/>
  <c r="BV2" i="15"/>
  <c r="BX2" i="15"/>
  <c r="BU3" i="15"/>
  <c r="BU4" i="15"/>
  <c r="BU5" i="15"/>
  <c r="BU6" i="15"/>
  <c r="BU7" i="15"/>
  <c r="BU8" i="15"/>
  <c r="BU9" i="15"/>
  <c r="BU10" i="15"/>
  <c r="BU11" i="15"/>
  <c r="BU12" i="15"/>
  <c r="BU13" i="15"/>
  <c r="BU14" i="15"/>
  <c r="BU15" i="15"/>
  <c r="BU16" i="15"/>
  <c r="BU17" i="15"/>
  <c r="BU18" i="15"/>
  <c r="BU19" i="15"/>
  <c r="BU20" i="15"/>
  <c r="BU21" i="15"/>
  <c r="BU22" i="15"/>
  <c r="BU23" i="15"/>
  <c r="BU24" i="15"/>
  <c r="BU25" i="15"/>
  <c r="BU26" i="15"/>
  <c r="BU27" i="15"/>
  <c r="BU28" i="15"/>
  <c r="BU29" i="15"/>
  <c r="BU30" i="15"/>
  <c r="BU31" i="15"/>
  <c r="BU32" i="15"/>
  <c r="BU33" i="15"/>
  <c r="BU34" i="15"/>
  <c r="BU35" i="15"/>
  <c r="BU36" i="15"/>
  <c r="BU37" i="15"/>
  <c r="BU38" i="15"/>
  <c r="BU39" i="15"/>
  <c r="BU40" i="15"/>
  <c r="BU41" i="15"/>
  <c r="BU42" i="15"/>
  <c r="BU43" i="15"/>
  <c r="BU44" i="15"/>
  <c r="BU45" i="15"/>
  <c r="BU46" i="15"/>
  <c r="BU47" i="15"/>
  <c r="BU48" i="15"/>
  <c r="BU49" i="15"/>
  <c r="BU50" i="15"/>
  <c r="BU51" i="15"/>
  <c r="BU52" i="15"/>
  <c r="BU53" i="15"/>
  <c r="BU54" i="15"/>
  <c r="BU55" i="15"/>
  <c r="BU56" i="15"/>
  <c r="BU57" i="15"/>
  <c r="BU58" i="15"/>
  <c r="BU59" i="15"/>
  <c r="BU60" i="15"/>
  <c r="BU61" i="15"/>
  <c r="BU62" i="15"/>
  <c r="BU63" i="15"/>
  <c r="BU64" i="15"/>
  <c r="BU65" i="15"/>
  <c r="BU66" i="15"/>
  <c r="BU67" i="15"/>
  <c r="BU68" i="15"/>
  <c r="BU69" i="15"/>
  <c r="BU70" i="15"/>
  <c r="BU71" i="15"/>
  <c r="BU72" i="15"/>
  <c r="BU73" i="15"/>
  <c r="BU74" i="15"/>
  <c r="BU2" i="15"/>
  <c r="BT3" i="15"/>
  <c r="BT4" i="15"/>
  <c r="BT5" i="15"/>
  <c r="BT6" i="15"/>
  <c r="BT7" i="15"/>
  <c r="BT8" i="15"/>
  <c r="BT9" i="15"/>
  <c r="BT10" i="15"/>
  <c r="BT11" i="15"/>
  <c r="BT12" i="15"/>
  <c r="BT13" i="15"/>
  <c r="BT14" i="15"/>
  <c r="BT15" i="15"/>
  <c r="BT16" i="15"/>
  <c r="BT17" i="15"/>
  <c r="BT18" i="15"/>
  <c r="BT19" i="15"/>
  <c r="BT20" i="15"/>
  <c r="BT21" i="15"/>
  <c r="BT22" i="15"/>
  <c r="BT23" i="15"/>
  <c r="BT24" i="15"/>
  <c r="BT25" i="15"/>
  <c r="BT26" i="15"/>
  <c r="BT27" i="15"/>
  <c r="BT28" i="15"/>
  <c r="BT29" i="15"/>
  <c r="BT30" i="15"/>
  <c r="BT31" i="15"/>
  <c r="BT32" i="15"/>
  <c r="BT33" i="15"/>
  <c r="BT34" i="15"/>
  <c r="BT35" i="15"/>
  <c r="BT36" i="15"/>
  <c r="BT37" i="15"/>
  <c r="BT38" i="15"/>
  <c r="BT39" i="15"/>
  <c r="BT40" i="15"/>
  <c r="BT41" i="15"/>
  <c r="BT42" i="15"/>
  <c r="BT43" i="15"/>
  <c r="BT44" i="15"/>
  <c r="BT45" i="15"/>
  <c r="BT46" i="15"/>
  <c r="BT47" i="15"/>
  <c r="BT48" i="15"/>
  <c r="BT49" i="15"/>
  <c r="BT50" i="15"/>
  <c r="BT51" i="15"/>
  <c r="BT52" i="15"/>
  <c r="BT53" i="15"/>
  <c r="BT54" i="15"/>
  <c r="BT55" i="15"/>
  <c r="BT56" i="15"/>
  <c r="BT57" i="15"/>
  <c r="BT58" i="15"/>
  <c r="BT59" i="15"/>
  <c r="BT60" i="15"/>
  <c r="BT61" i="15"/>
  <c r="BT62" i="15"/>
  <c r="BT63" i="15"/>
  <c r="BT64" i="15"/>
  <c r="BT65" i="15"/>
  <c r="BT66" i="15"/>
  <c r="BT67" i="15"/>
  <c r="BT68" i="15"/>
  <c r="BT69" i="15"/>
  <c r="BT70" i="15"/>
  <c r="BT71" i="15"/>
  <c r="BT72" i="15"/>
  <c r="BT73" i="15"/>
  <c r="BT74" i="15"/>
  <c r="BT2" i="15"/>
  <c r="BS3" i="15"/>
  <c r="BS4" i="15"/>
  <c r="BS5" i="15"/>
  <c r="BS6" i="15"/>
  <c r="BS7" i="15"/>
  <c r="BS8" i="15"/>
  <c r="BS9" i="15"/>
  <c r="BS10" i="15"/>
  <c r="BS11" i="15"/>
  <c r="BS12" i="15"/>
  <c r="BS13" i="15"/>
  <c r="BS14" i="15"/>
  <c r="BS15" i="15"/>
  <c r="BS16" i="15"/>
  <c r="BS17" i="15"/>
  <c r="BS18" i="15"/>
  <c r="BS19" i="15"/>
  <c r="BS20" i="15"/>
  <c r="BS21" i="15"/>
  <c r="BS22" i="15"/>
  <c r="BS23" i="15"/>
  <c r="BS24" i="15"/>
  <c r="BS25" i="15"/>
  <c r="BS26" i="15"/>
  <c r="BS27" i="15"/>
  <c r="BS28" i="15"/>
  <c r="BS29" i="15"/>
  <c r="BS30" i="15"/>
  <c r="BS31" i="15"/>
  <c r="BS32" i="15"/>
  <c r="BS33" i="15"/>
  <c r="BS34" i="15"/>
  <c r="BS35" i="15"/>
  <c r="BS36" i="15"/>
  <c r="BS37" i="15"/>
  <c r="BS38" i="15"/>
  <c r="BS39" i="15"/>
  <c r="BS40" i="15"/>
  <c r="BS41" i="15"/>
  <c r="BS42" i="15"/>
  <c r="BS43" i="15"/>
  <c r="BS44" i="15"/>
  <c r="BS45" i="15"/>
  <c r="BS46" i="15"/>
  <c r="BS47" i="15"/>
  <c r="BS48" i="15"/>
  <c r="BS49" i="15"/>
  <c r="BS50" i="15"/>
  <c r="BS51" i="15"/>
  <c r="BS52" i="15"/>
  <c r="BS53" i="15"/>
  <c r="BS54" i="15"/>
  <c r="BS55" i="15"/>
  <c r="BS56" i="15"/>
  <c r="BS57" i="15"/>
  <c r="BS58" i="15"/>
  <c r="BS59" i="15"/>
  <c r="BS60" i="15"/>
  <c r="BS61" i="15"/>
  <c r="BS62" i="15"/>
  <c r="BS63" i="15"/>
  <c r="BS64" i="15"/>
  <c r="BS65" i="15"/>
  <c r="BS66" i="15"/>
  <c r="BS67" i="15"/>
  <c r="BS68" i="15"/>
  <c r="BS69" i="15"/>
  <c r="BS70" i="15"/>
  <c r="BS71" i="15"/>
  <c r="BS72" i="15"/>
  <c r="BS73" i="15"/>
  <c r="BS74" i="15"/>
  <c r="BS2" i="15"/>
  <c r="BR3" i="15"/>
  <c r="BR4" i="15"/>
  <c r="BR5" i="15"/>
  <c r="BR6" i="15"/>
  <c r="BR7" i="15"/>
  <c r="BR8" i="15"/>
  <c r="BR9" i="15"/>
  <c r="BR10" i="15"/>
  <c r="BR11" i="15"/>
  <c r="BR12" i="15"/>
  <c r="BR13" i="15"/>
  <c r="BR14" i="15"/>
  <c r="BR15" i="15"/>
  <c r="BR16" i="15"/>
  <c r="BR17" i="15"/>
  <c r="BR18" i="15"/>
  <c r="BR19" i="15"/>
  <c r="BR20" i="15"/>
  <c r="BR21" i="15"/>
  <c r="BR22" i="15"/>
  <c r="BR23" i="15"/>
  <c r="BR24" i="15"/>
  <c r="BR25" i="15"/>
  <c r="BR26" i="15"/>
  <c r="BR27" i="15"/>
  <c r="BR28" i="15"/>
  <c r="BR29" i="15"/>
  <c r="BR30" i="15"/>
  <c r="BR31" i="15"/>
  <c r="BR32" i="15"/>
  <c r="BR33" i="15"/>
  <c r="BR34" i="15"/>
  <c r="BR35" i="15"/>
  <c r="BR36" i="15"/>
  <c r="BR37" i="15"/>
  <c r="BR38" i="15"/>
  <c r="BR39" i="15"/>
  <c r="BR40" i="15"/>
  <c r="BR41" i="15"/>
  <c r="BR42" i="15"/>
  <c r="BR43" i="15"/>
  <c r="BR44" i="15"/>
  <c r="BR45" i="15"/>
  <c r="BR46" i="15"/>
  <c r="BR47" i="15"/>
  <c r="BR48" i="15"/>
  <c r="BR49" i="15"/>
  <c r="BR50" i="15"/>
  <c r="BR51" i="15"/>
  <c r="BR52" i="15"/>
  <c r="BR53" i="15"/>
  <c r="BR54" i="15"/>
  <c r="BR55" i="15"/>
  <c r="BR56" i="15"/>
  <c r="BR57" i="15"/>
  <c r="BR58" i="15"/>
  <c r="BR59" i="15"/>
  <c r="BR60" i="15"/>
  <c r="BR61" i="15"/>
  <c r="BR62" i="15"/>
  <c r="BR63" i="15"/>
  <c r="BR64" i="15"/>
  <c r="BR65" i="15"/>
  <c r="BR66" i="15"/>
  <c r="BR67" i="15"/>
  <c r="BR68" i="15"/>
  <c r="BR69" i="15"/>
  <c r="BR70" i="15"/>
  <c r="BR71" i="15"/>
  <c r="BR72" i="15"/>
  <c r="BR73" i="15"/>
  <c r="BR74" i="15"/>
  <c r="BR2" i="15"/>
  <c r="BD3" i="15"/>
  <c r="BD4" i="15"/>
  <c r="BD5" i="15"/>
  <c r="BD6" i="15"/>
  <c r="BD7" i="15"/>
  <c r="BD8" i="15"/>
  <c r="BD9" i="15"/>
  <c r="BD10" i="15"/>
  <c r="BD11" i="15"/>
  <c r="BD12" i="15"/>
  <c r="BD13" i="15"/>
  <c r="BD14" i="15"/>
  <c r="BD15" i="15"/>
  <c r="BD16" i="15"/>
  <c r="BD17" i="15"/>
  <c r="BD18" i="15"/>
  <c r="BD19" i="15"/>
  <c r="BD20" i="15"/>
  <c r="BD21" i="15"/>
  <c r="BD22" i="15"/>
  <c r="BD23" i="15"/>
  <c r="BD24" i="15"/>
  <c r="BD25" i="15"/>
  <c r="BD26" i="15"/>
  <c r="BD27" i="15"/>
  <c r="BD28" i="15"/>
  <c r="BD29" i="15"/>
  <c r="BD30" i="15"/>
  <c r="BD31" i="15"/>
  <c r="BD32" i="15"/>
  <c r="BD33" i="15"/>
  <c r="BD34" i="15"/>
  <c r="BD35" i="15"/>
  <c r="BD36" i="15"/>
  <c r="BD37" i="15"/>
  <c r="BD38" i="15"/>
  <c r="BD39" i="15"/>
  <c r="BD40" i="15"/>
  <c r="BD41" i="15"/>
  <c r="BD42" i="15"/>
  <c r="BD43" i="15"/>
  <c r="BD44" i="15"/>
  <c r="BD45" i="15"/>
  <c r="BD46" i="15"/>
  <c r="BD47" i="15"/>
  <c r="BD48" i="15"/>
  <c r="BD49" i="15"/>
  <c r="BD50" i="15"/>
  <c r="BD51" i="15"/>
  <c r="BD52" i="15"/>
  <c r="BD53" i="15"/>
  <c r="BD54" i="15"/>
  <c r="BD55" i="15"/>
  <c r="BD56" i="15"/>
  <c r="BD57" i="15"/>
  <c r="BD58" i="15"/>
  <c r="BD59" i="15"/>
  <c r="BD60" i="15"/>
  <c r="BD61" i="15"/>
  <c r="BD62" i="15"/>
  <c r="BD63" i="15"/>
  <c r="BD64" i="15"/>
  <c r="BD65" i="15"/>
  <c r="BD66" i="15"/>
  <c r="BD67" i="15"/>
  <c r="BD68" i="15"/>
  <c r="BD69" i="15"/>
  <c r="BD70" i="15"/>
  <c r="BD71" i="15"/>
  <c r="BD72" i="15"/>
  <c r="BD73" i="15"/>
  <c r="BD74" i="15"/>
  <c r="BD2" i="15"/>
  <c r="BC3" i="15"/>
  <c r="BC4" i="15"/>
  <c r="BC5" i="15"/>
  <c r="BC6" i="15"/>
  <c r="BC7" i="15"/>
  <c r="BC8" i="15"/>
  <c r="BC9" i="15"/>
  <c r="BC10" i="15"/>
  <c r="BC11" i="15"/>
  <c r="BC12" i="15"/>
  <c r="BC13" i="15"/>
  <c r="BC14" i="15"/>
  <c r="BC15" i="15"/>
  <c r="BC16" i="15"/>
  <c r="BC17" i="15"/>
  <c r="BC18" i="15"/>
  <c r="BC19" i="15"/>
  <c r="BC20" i="15"/>
  <c r="BC21" i="15"/>
  <c r="BC22" i="15"/>
  <c r="BC23" i="15"/>
  <c r="BC24" i="15"/>
  <c r="BC25" i="15"/>
  <c r="BC26" i="15"/>
  <c r="BC27" i="15"/>
  <c r="BC28" i="15"/>
  <c r="BC29" i="15"/>
  <c r="BC30" i="15"/>
  <c r="BC31" i="15"/>
  <c r="BC32" i="15"/>
  <c r="BC33" i="15"/>
  <c r="BC34" i="15"/>
  <c r="BC35" i="15"/>
  <c r="BC36" i="15"/>
  <c r="BC37" i="15"/>
  <c r="BC38" i="15"/>
  <c r="BC39" i="15"/>
  <c r="BC40" i="15"/>
  <c r="BC41" i="15"/>
  <c r="BC42" i="15"/>
  <c r="BC43" i="15"/>
  <c r="BC44" i="15"/>
  <c r="BC45" i="15"/>
  <c r="BC46" i="15"/>
  <c r="BC47" i="15"/>
  <c r="BC48" i="15"/>
  <c r="BC49" i="15"/>
  <c r="BC50" i="15"/>
  <c r="BC51" i="15"/>
  <c r="BC52" i="15"/>
  <c r="BC53" i="15"/>
  <c r="BC54" i="15"/>
  <c r="BC55" i="15"/>
  <c r="BC56" i="15"/>
  <c r="BC57" i="15"/>
  <c r="BC58" i="15"/>
  <c r="BC59" i="15"/>
  <c r="BC60" i="15"/>
  <c r="BC61" i="15"/>
  <c r="BC62" i="15"/>
  <c r="BC63" i="15"/>
  <c r="BC64" i="15"/>
  <c r="BC65" i="15"/>
  <c r="BC66" i="15"/>
  <c r="BC67" i="15"/>
  <c r="BC68" i="15"/>
  <c r="BC69" i="15"/>
  <c r="BC70" i="15"/>
  <c r="BC71" i="15"/>
  <c r="BC72" i="15"/>
  <c r="BC73" i="15"/>
  <c r="BC74" i="15"/>
  <c r="BC2" i="15"/>
  <c r="BB3" i="15"/>
  <c r="BB4" i="15"/>
  <c r="BB5" i="15"/>
  <c r="BB6" i="15"/>
  <c r="BB7" i="15"/>
  <c r="BB8" i="15"/>
  <c r="BB9" i="15"/>
  <c r="BB10" i="15"/>
  <c r="BB11" i="15"/>
  <c r="BB12" i="15"/>
  <c r="BB13" i="15"/>
  <c r="BB14" i="15"/>
  <c r="BB15" i="15"/>
  <c r="BB16" i="15"/>
  <c r="BB17" i="15"/>
  <c r="BB18" i="15"/>
  <c r="BB19" i="15"/>
  <c r="BB20" i="15"/>
  <c r="BB21" i="15"/>
  <c r="BB22" i="15"/>
  <c r="BB23" i="15"/>
  <c r="BB24" i="15"/>
  <c r="BB25" i="15"/>
  <c r="BB26" i="15"/>
  <c r="BB27" i="15"/>
  <c r="BB28" i="15"/>
  <c r="BB29" i="15"/>
  <c r="BB30" i="15"/>
  <c r="BB31" i="15"/>
  <c r="BB32" i="15"/>
  <c r="BB33" i="15"/>
  <c r="BB34" i="15"/>
  <c r="BB35" i="15"/>
  <c r="BB36" i="15"/>
  <c r="BB37" i="15"/>
  <c r="BB38" i="15"/>
  <c r="BB39" i="15"/>
  <c r="BB40" i="15"/>
  <c r="BB41" i="15"/>
  <c r="BB42" i="15"/>
  <c r="BB43" i="15"/>
  <c r="BB44" i="15"/>
  <c r="BB45" i="15"/>
  <c r="BB46" i="15"/>
  <c r="BB47" i="15"/>
  <c r="BB48" i="15"/>
  <c r="BB49" i="15"/>
  <c r="BB50" i="15"/>
  <c r="BB51" i="15"/>
  <c r="BB52" i="15"/>
  <c r="BB53" i="15"/>
  <c r="BB54" i="15"/>
  <c r="BB55" i="15"/>
  <c r="BB56" i="15"/>
  <c r="BB57" i="15"/>
  <c r="BB58" i="15"/>
  <c r="BB59" i="15"/>
  <c r="BB60" i="15"/>
  <c r="BB61" i="15"/>
  <c r="BB62" i="15"/>
  <c r="BB63" i="15"/>
  <c r="BB64" i="15"/>
  <c r="BB65" i="15"/>
  <c r="BB66" i="15"/>
  <c r="BB67" i="15"/>
  <c r="BB68" i="15"/>
  <c r="BB69" i="15"/>
  <c r="BB70" i="15"/>
  <c r="BB71" i="15"/>
  <c r="BB72" i="15"/>
  <c r="BB73" i="15"/>
  <c r="BB74" i="15"/>
  <c r="BB2" i="15"/>
  <c r="BA3" i="15"/>
  <c r="BA4" i="15"/>
  <c r="BA5" i="15"/>
  <c r="BA6" i="15"/>
  <c r="BA7" i="15"/>
  <c r="BA8" i="15"/>
  <c r="BA9" i="15"/>
  <c r="BA10" i="15"/>
  <c r="BA11" i="15"/>
  <c r="BA12" i="15"/>
  <c r="BA13" i="15"/>
  <c r="BA14" i="15"/>
  <c r="BA15" i="15"/>
  <c r="BA16" i="15"/>
  <c r="BA17" i="15"/>
  <c r="BA18" i="15"/>
  <c r="BA19" i="15"/>
  <c r="BA20" i="15"/>
  <c r="BA21" i="15"/>
  <c r="BA22" i="15"/>
  <c r="BA23" i="15"/>
  <c r="BA24" i="15"/>
  <c r="BA25" i="15"/>
  <c r="BA26" i="15"/>
  <c r="BA27" i="15"/>
  <c r="BA28" i="15"/>
  <c r="BA29" i="15"/>
  <c r="BA30" i="15"/>
  <c r="BA31" i="15"/>
  <c r="BA32" i="15"/>
  <c r="BA33" i="15"/>
  <c r="BA34" i="15"/>
  <c r="BA35" i="15"/>
  <c r="BA36" i="15"/>
  <c r="BA37" i="15"/>
  <c r="BA38" i="15"/>
  <c r="BA39" i="15"/>
  <c r="BA40" i="15"/>
  <c r="BA41" i="15"/>
  <c r="BA42" i="15"/>
  <c r="BA43" i="15"/>
  <c r="BA44" i="15"/>
  <c r="BA45" i="15"/>
  <c r="BA46" i="15"/>
  <c r="BA47" i="15"/>
  <c r="BA48" i="15"/>
  <c r="BA49" i="15"/>
  <c r="BA50" i="15"/>
  <c r="BA51" i="15"/>
  <c r="BA52" i="15"/>
  <c r="BA53" i="15"/>
  <c r="BA54" i="15"/>
  <c r="BA55" i="15"/>
  <c r="BA56" i="15"/>
  <c r="BA57" i="15"/>
  <c r="BA58" i="15"/>
  <c r="BA59" i="15"/>
  <c r="BA60" i="15"/>
  <c r="BA61" i="15"/>
  <c r="BA62" i="15"/>
  <c r="BA63" i="15"/>
  <c r="BA64" i="15"/>
  <c r="BA65" i="15"/>
  <c r="BA66" i="15"/>
  <c r="BA67" i="15"/>
  <c r="BA68" i="15"/>
  <c r="BA69" i="15"/>
  <c r="BA70" i="15"/>
  <c r="BA71" i="15"/>
  <c r="BA72" i="15"/>
  <c r="BA73" i="15"/>
  <c r="BA74" i="15"/>
  <c r="BA2" i="15"/>
  <c r="AZ3" i="15"/>
  <c r="AZ4" i="15"/>
  <c r="AZ5" i="15"/>
  <c r="AZ6" i="15"/>
  <c r="AZ7" i="15"/>
  <c r="AZ8" i="15"/>
  <c r="AZ9" i="15"/>
  <c r="AZ10" i="15"/>
  <c r="AZ11" i="15"/>
  <c r="AZ12" i="15"/>
  <c r="AZ13" i="15"/>
  <c r="AZ14" i="15"/>
  <c r="AZ15" i="15"/>
  <c r="AZ16" i="15"/>
  <c r="AZ17" i="15"/>
  <c r="AZ18" i="15"/>
  <c r="AZ19" i="15"/>
  <c r="AZ20" i="15"/>
  <c r="AZ21" i="15"/>
  <c r="AZ22" i="15"/>
  <c r="AZ23" i="15"/>
  <c r="AZ24" i="15"/>
  <c r="AZ25" i="15"/>
  <c r="AZ26" i="15"/>
  <c r="AZ27" i="15"/>
  <c r="AZ28" i="15"/>
  <c r="AZ29" i="15"/>
  <c r="AZ30" i="15"/>
  <c r="AZ31" i="15"/>
  <c r="AZ32" i="15"/>
  <c r="AZ33" i="15"/>
  <c r="AZ34" i="15"/>
  <c r="AZ35" i="15"/>
  <c r="AZ36" i="15"/>
  <c r="AZ37" i="15"/>
  <c r="AZ38" i="15"/>
  <c r="AZ39" i="15"/>
  <c r="AZ40" i="15"/>
  <c r="AZ41" i="15"/>
  <c r="AZ42" i="15"/>
  <c r="AZ43" i="15"/>
  <c r="AZ44" i="15"/>
  <c r="AZ45" i="15"/>
  <c r="AZ46" i="15"/>
  <c r="AZ47" i="15"/>
  <c r="AZ48" i="15"/>
  <c r="AZ49" i="15"/>
  <c r="AZ50" i="15"/>
  <c r="AZ51" i="15"/>
  <c r="AZ52" i="15"/>
  <c r="AZ53" i="15"/>
  <c r="AZ54" i="15"/>
  <c r="AZ55" i="15"/>
  <c r="AZ56" i="15"/>
  <c r="AZ57" i="15"/>
  <c r="AZ58" i="15"/>
  <c r="AZ59" i="15"/>
  <c r="AZ60" i="15"/>
  <c r="AZ61" i="15"/>
  <c r="AZ62" i="15"/>
  <c r="AZ63" i="15"/>
  <c r="AZ64" i="15"/>
  <c r="AZ65" i="15"/>
  <c r="AZ66" i="15"/>
  <c r="AZ67" i="15"/>
  <c r="AZ68" i="15"/>
  <c r="AZ69" i="15"/>
  <c r="AZ70" i="15"/>
  <c r="AZ71" i="15"/>
  <c r="AZ72" i="15"/>
  <c r="AZ73" i="15"/>
  <c r="AZ74" i="15"/>
  <c r="AZ2" i="15"/>
  <c r="BE3" i="15"/>
  <c r="BE4" i="15"/>
  <c r="BE5" i="15"/>
  <c r="BE6" i="15"/>
  <c r="BE7" i="15"/>
  <c r="BE8" i="15"/>
  <c r="BE9" i="15"/>
  <c r="BE10" i="15"/>
  <c r="BE11" i="15"/>
  <c r="BE12" i="15"/>
  <c r="BE13" i="15"/>
  <c r="BE14" i="15"/>
  <c r="BE15" i="15"/>
  <c r="BE16" i="15"/>
  <c r="BE17" i="15"/>
  <c r="BE18" i="15"/>
  <c r="BE19" i="15"/>
  <c r="BE20" i="15"/>
  <c r="BE21" i="15"/>
  <c r="BE22" i="15"/>
  <c r="BE23" i="15"/>
  <c r="BE24" i="15"/>
  <c r="BE25" i="15"/>
  <c r="BE26" i="15"/>
  <c r="BE27" i="15"/>
  <c r="BE28" i="15"/>
  <c r="BE29" i="15"/>
  <c r="BE30" i="15"/>
  <c r="BE31" i="15"/>
  <c r="BE32" i="15"/>
  <c r="BE33" i="15"/>
  <c r="BE34" i="15"/>
  <c r="BE35" i="15"/>
  <c r="BE36" i="15"/>
  <c r="BE37" i="15"/>
  <c r="BE38" i="15"/>
  <c r="BE39" i="15"/>
  <c r="BE40" i="15"/>
  <c r="BE41" i="15"/>
  <c r="BE42" i="15"/>
  <c r="BE43" i="15"/>
  <c r="BE44" i="15"/>
  <c r="BE45" i="15"/>
  <c r="BE46" i="15"/>
  <c r="BE47" i="15"/>
  <c r="BE48" i="15"/>
  <c r="BE49" i="15"/>
  <c r="BE50" i="15"/>
  <c r="BE51" i="15"/>
  <c r="BE52" i="15"/>
  <c r="BE53" i="15"/>
  <c r="BE54" i="15"/>
  <c r="BE55" i="15"/>
  <c r="BE56" i="15"/>
  <c r="BE57" i="15"/>
  <c r="BE58" i="15"/>
  <c r="BE59" i="15"/>
  <c r="BE60" i="15"/>
  <c r="BE61" i="15"/>
  <c r="BE62" i="15"/>
  <c r="BE63" i="15"/>
  <c r="BE64" i="15"/>
  <c r="BE65" i="15"/>
  <c r="BE66" i="15"/>
  <c r="BE67" i="15"/>
  <c r="BE68" i="15"/>
  <c r="BE69" i="15"/>
  <c r="BE70" i="15"/>
  <c r="BE71" i="15"/>
  <c r="BE72" i="15"/>
  <c r="BE73" i="15"/>
  <c r="BE74" i="15"/>
  <c r="BE2" i="15"/>
  <c r="AY3" i="15"/>
  <c r="AY4" i="15"/>
  <c r="AY5" i="15"/>
  <c r="AY6" i="15"/>
  <c r="AY7" i="15"/>
  <c r="AY8" i="15"/>
  <c r="AY9" i="15"/>
  <c r="AY10" i="15"/>
  <c r="AY11" i="15"/>
  <c r="AY12" i="15"/>
  <c r="AY13" i="15"/>
  <c r="AY14" i="15"/>
  <c r="AY15" i="15"/>
  <c r="AY16" i="15"/>
  <c r="AY17" i="15"/>
  <c r="AY18" i="15"/>
  <c r="AY19" i="15"/>
  <c r="AY20" i="15"/>
  <c r="AY21" i="15"/>
  <c r="AY22" i="15"/>
  <c r="AY23" i="15"/>
  <c r="AY24" i="15"/>
  <c r="AY25" i="15"/>
  <c r="AY26" i="15"/>
  <c r="AY27" i="15"/>
  <c r="AY28" i="15"/>
  <c r="AY29" i="15"/>
  <c r="AY30" i="15"/>
  <c r="AY31" i="15"/>
  <c r="AY32" i="15"/>
  <c r="AY33" i="15"/>
  <c r="AY34" i="15"/>
  <c r="AY35" i="15"/>
  <c r="AY36" i="15"/>
  <c r="AY37" i="15"/>
  <c r="AY38" i="15"/>
  <c r="AY39" i="15"/>
  <c r="AY40" i="15"/>
  <c r="AY41" i="15"/>
  <c r="AY42" i="15"/>
  <c r="AY43" i="15"/>
  <c r="AY44" i="15"/>
  <c r="AY45" i="15"/>
  <c r="AY46" i="15"/>
  <c r="AY47" i="15"/>
  <c r="AY48" i="15"/>
  <c r="AY49" i="15"/>
  <c r="AY50" i="15"/>
  <c r="AY51" i="15"/>
  <c r="AY52" i="15"/>
  <c r="AY53" i="15"/>
  <c r="AY54" i="15"/>
  <c r="AY55" i="15"/>
  <c r="AY56" i="15"/>
  <c r="AY57" i="15"/>
  <c r="AY58" i="15"/>
  <c r="AY59" i="15"/>
  <c r="AY60" i="15"/>
  <c r="AY61" i="15"/>
  <c r="AY62" i="15"/>
  <c r="AY63" i="15"/>
  <c r="AY64" i="15"/>
  <c r="AY65" i="15"/>
  <c r="AY66" i="15"/>
  <c r="AY67" i="15"/>
  <c r="AY68" i="15"/>
  <c r="AY69" i="15"/>
  <c r="AY70" i="15"/>
  <c r="AY71" i="15"/>
  <c r="AY72" i="15"/>
  <c r="AY73" i="15"/>
  <c r="AY74" i="15"/>
  <c r="AY2" i="15"/>
  <c r="AK3" i="15"/>
  <c r="AK4" i="15"/>
  <c r="AK5" i="15"/>
  <c r="AK6" i="15"/>
  <c r="AK7" i="15"/>
  <c r="AK8" i="15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23" i="15"/>
  <c r="AK24" i="15"/>
  <c r="AK25" i="15"/>
  <c r="AK26" i="15"/>
  <c r="AK27" i="15"/>
  <c r="AK28" i="15"/>
  <c r="AK29" i="15"/>
  <c r="AK30" i="15"/>
  <c r="AK31" i="15"/>
  <c r="AK32" i="15"/>
  <c r="AK33" i="15"/>
  <c r="AK34" i="15"/>
  <c r="AK35" i="15"/>
  <c r="AK36" i="15"/>
  <c r="AK37" i="15"/>
  <c r="AK38" i="15"/>
  <c r="AK39" i="15"/>
  <c r="AK40" i="15"/>
  <c r="AK41" i="15"/>
  <c r="AK42" i="15"/>
  <c r="AK43" i="15"/>
  <c r="AK44" i="15"/>
  <c r="AK45" i="15"/>
  <c r="AK46" i="15"/>
  <c r="AK47" i="15"/>
  <c r="AK48" i="15"/>
  <c r="AK49" i="15"/>
  <c r="AK50" i="15"/>
  <c r="AK51" i="15"/>
  <c r="AK52" i="15"/>
  <c r="AK53" i="15"/>
  <c r="AK54" i="15"/>
  <c r="AK55" i="15"/>
  <c r="AK56" i="15"/>
  <c r="AK57" i="15"/>
  <c r="AK58" i="15"/>
  <c r="AK59" i="15"/>
  <c r="AK60" i="15"/>
  <c r="AK61" i="15"/>
  <c r="AK62" i="15"/>
  <c r="AK63" i="15"/>
  <c r="AK64" i="15"/>
  <c r="AK65" i="15"/>
  <c r="AK66" i="15"/>
  <c r="AK67" i="15"/>
  <c r="AK68" i="15"/>
  <c r="AK69" i="15"/>
  <c r="AK70" i="15"/>
  <c r="AK71" i="15"/>
  <c r="AK72" i="15"/>
  <c r="AK73" i="15"/>
  <c r="AK74" i="15"/>
  <c r="AK2" i="15"/>
  <c r="AJ3" i="15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6" i="15"/>
  <c r="AJ27" i="15"/>
  <c r="AJ28" i="15"/>
  <c r="AJ29" i="15"/>
  <c r="AJ30" i="15"/>
  <c r="AJ31" i="15"/>
  <c r="AJ32" i="15"/>
  <c r="AJ33" i="15"/>
  <c r="AJ34" i="15"/>
  <c r="AJ35" i="15"/>
  <c r="AJ36" i="15"/>
  <c r="AJ37" i="15"/>
  <c r="AJ38" i="15"/>
  <c r="AJ39" i="15"/>
  <c r="AJ40" i="15"/>
  <c r="AJ41" i="15"/>
  <c r="AJ42" i="15"/>
  <c r="AJ43" i="15"/>
  <c r="AJ44" i="15"/>
  <c r="AJ45" i="15"/>
  <c r="AJ46" i="15"/>
  <c r="AJ47" i="15"/>
  <c r="AJ48" i="15"/>
  <c r="AJ49" i="15"/>
  <c r="AJ50" i="15"/>
  <c r="AJ51" i="15"/>
  <c r="AJ52" i="15"/>
  <c r="AJ53" i="15"/>
  <c r="AJ54" i="15"/>
  <c r="AJ55" i="15"/>
  <c r="AJ56" i="15"/>
  <c r="AJ57" i="15"/>
  <c r="AJ58" i="15"/>
  <c r="AJ59" i="15"/>
  <c r="AJ60" i="15"/>
  <c r="AJ61" i="15"/>
  <c r="AJ62" i="15"/>
  <c r="AJ63" i="15"/>
  <c r="AJ64" i="15"/>
  <c r="AJ65" i="15"/>
  <c r="AJ66" i="15"/>
  <c r="AJ67" i="15"/>
  <c r="AJ68" i="15"/>
  <c r="AJ69" i="15"/>
  <c r="AJ70" i="15"/>
  <c r="AJ71" i="15"/>
  <c r="AJ72" i="15"/>
  <c r="AJ73" i="15"/>
  <c r="AJ74" i="15"/>
  <c r="AJ2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50" i="15"/>
  <c r="AI51" i="15"/>
  <c r="AI52" i="15"/>
  <c r="AI53" i="15"/>
  <c r="AI54" i="15"/>
  <c r="AI55" i="15"/>
  <c r="AI56" i="15"/>
  <c r="AI57" i="15"/>
  <c r="AI58" i="15"/>
  <c r="AI59" i="15"/>
  <c r="AI60" i="15"/>
  <c r="AI61" i="15"/>
  <c r="AI62" i="15"/>
  <c r="AI63" i="15"/>
  <c r="AI64" i="15"/>
  <c r="AI65" i="15"/>
  <c r="AI66" i="15"/>
  <c r="AI67" i="15"/>
  <c r="AI68" i="15"/>
  <c r="AI69" i="15"/>
  <c r="AI70" i="15"/>
  <c r="AI71" i="15"/>
  <c r="AI72" i="15"/>
  <c r="AI73" i="15"/>
  <c r="AI74" i="15"/>
  <c r="AI2" i="15"/>
  <c r="AH3" i="15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2" i="15"/>
  <c r="AG3" i="15"/>
  <c r="AG4" i="15"/>
  <c r="AG5" i="15"/>
  <c r="AG6" i="15"/>
  <c r="AG7" i="15"/>
  <c r="AG8" i="15"/>
  <c r="AG9" i="15"/>
  <c r="AG10" i="15"/>
  <c r="AG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6" i="15"/>
  <c r="AG27" i="15"/>
  <c r="AG28" i="15"/>
  <c r="AG29" i="15"/>
  <c r="AG30" i="15"/>
  <c r="AG31" i="15"/>
  <c r="AG32" i="15"/>
  <c r="AG33" i="15"/>
  <c r="AG34" i="15"/>
  <c r="AG35" i="15"/>
  <c r="AG36" i="15"/>
  <c r="AG37" i="15"/>
  <c r="AG38" i="15"/>
  <c r="AG39" i="15"/>
  <c r="AG40" i="15"/>
  <c r="AG41" i="15"/>
  <c r="AG42" i="15"/>
  <c r="AG43" i="15"/>
  <c r="AG44" i="15"/>
  <c r="AG45" i="15"/>
  <c r="AG46" i="15"/>
  <c r="AG47" i="15"/>
  <c r="AG48" i="15"/>
  <c r="AG49" i="15"/>
  <c r="AG50" i="15"/>
  <c r="AG51" i="15"/>
  <c r="AG52" i="15"/>
  <c r="AG53" i="15"/>
  <c r="AG54" i="15"/>
  <c r="AG55" i="15"/>
  <c r="AG56" i="15"/>
  <c r="AG57" i="15"/>
  <c r="AG58" i="15"/>
  <c r="AG59" i="15"/>
  <c r="AG60" i="15"/>
  <c r="AG61" i="15"/>
  <c r="AG62" i="15"/>
  <c r="AG63" i="15"/>
  <c r="AG64" i="15"/>
  <c r="AG65" i="15"/>
  <c r="AG66" i="15"/>
  <c r="AG67" i="15"/>
  <c r="AG68" i="15"/>
  <c r="AG69" i="15"/>
  <c r="AG70" i="15"/>
  <c r="AG71" i="15"/>
  <c r="AG72" i="15"/>
  <c r="AG73" i="15"/>
  <c r="AG74" i="15"/>
  <c r="AG2" i="15"/>
  <c r="AL3" i="15"/>
  <c r="AL4" i="15"/>
  <c r="AL5" i="15"/>
  <c r="AL6" i="15"/>
  <c r="AL7" i="15"/>
  <c r="AL8" i="15"/>
  <c r="AL9" i="15"/>
  <c r="AL10" i="15"/>
  <c r="AL11" i="15"/>
  <c r="AL12" i="15"/>
  <c r="AL13" i="15"/>
  <c r="AL14" i="15"/>
  <c r="AL15" i="15"/>
  <c r="AL16" i="15"/>
  <c r="AL17" i="15"/>
  <c r="AL18" i="15"/>
  <c r="AL19" i="15"/>
  <c r="AL20" i="15"/>
  <c r="AL21" i="15"/>
  <c r="AL22" i="15"/>
  <c r="AL23" i="15"/>
  <c r="AL24" i="15"/>
  <c r="AL25" i="15"/>
  <c r="AL26" i="15"/>
  <c r="AL27" i="15"/>
  <c r="AL28" i="15"/>
  <c r="AL29" i="15"/>
  <c r="AL30" i="15"/>
  <c r="AL31" i="15"/>
  <c r="AL32" i="15"/>
  <c r="AL33" i="15"/>
  <c r="AL34" i="15"/>
  <c r="AL35" i="15"/>
  <c r="AL36" i="15"/>
  <c r="AL37" i="15"/>
  <c r="AL38" i="15"/>
  <c r="AL39" i="15"/>
  <c r="AL40" i="15"/>
  <c r="AL41" i="15"/>
  <c r="AL42" i="15"/>
  <c r="AL43" i="15"/>
  <c r="AL44" i="15"/>
  <c r="AL45" i="15"/>
  <c r="AL46" i="15"/>
  <c r="AL47" i="15"/>
  <c r="AL48" i="15"/>
  <c r="AL49" i="15"/>
  <c r="AL50" i="15"/>
  <c r="AL51" i="15"/>
  <c r="AL52" i="15"/>
  <c r="AL53" i="15"/>
  <c r="AL54" i="15"/>
  <c r="AL55" i="15"/>
  <c r="AL56" i="15"/>
  <c r="AL57" i="15"/>
  <c r="AL58" i="15"/>
  <c r="AL59" i="15"/>
  <c r="AL60" i="15"/>
  <c r="AL61" i="15"/>
  <c r="AL62" i="15"/>
  <c r="AL63" i="15"/>
  <c r="AL64" i="15"/>
  <c r="AL65" i="15"/>
  <c r="AL66" i="15"/>
  <c r="AL67" i="15"/>
  <c r="AL68" i="15"/>
  <c r="AL69" i="15"/>
  <c r="AL70" i="15"/>
  <c r="AL71" i="15"/>
  <c r="AL72" i="15"/>
  <c r="AL73" i="15"/>
  <c r="AL74" i="15"/>
  <c r="AF3" i="15"/>
  <c r="AF4" i="15"/>
  <c r="AF5" i="15"/>
  <c r="AF6" i="15"/>
  <c r="AF7" i="15"/>
  <c r="AF8" i="15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27" i="15"/>
  <c r="AF28" i="15"/>
  <c r="AF29" i="15"/>
  <c r="AF30" i="15"/>
  <c r="AF31" i="15"/>
  <c r="AF32" i="15"/>
  <c r="AF33" i="15"/>
  <c r="AF34" i="15"/>
  <c r="AF35" i="15"/>
  <c r="AF36" i="15"/>
  <c r="AF37" i="15"/>
  <c r="AF38" i="15"/>
  <c r="AF39" i="15"/>
  <c r="AF40" i="15"/>
  <c r="AF41" i="15"/>
  <c r="AF42" i="15"/>
  <c r="AF43" i="15"/>
  <c r="AF44" i="15"/>
  <c r="AF45" i="15"/>
  <c r="AF46" i="15"/>
  <c r="AF47" i="15"/>
  <c r="AF48" i="15"/>
  <c r="AF49" i="15"/>
  <c r="AF50" i="15"/>
  <c r="AF51" i="15"/>
  <c r="AF52" i="15"/>
  <c r="AF53" i="15"/>
  <c r="AF54" i="15"/>
  <c r="AF55" i="15"/>
  <c r="AF56" i="15"/>
  <c r="AF57" i="15"/>
  <c r="AF58" i="15"/>
  <c r="AF59" i="15"/>
  <c r="AF60" i="15"/>
  <c r="AF61" i="15"/>
  <c r="AF62" i="15"/>
  <c r="AF63" i="15"/>
  <c r="AF64" i="15"/>
  <c r="AF65" i="15"/>
  <c r="AF66" i="15"/>
  <c r="AF67" i="15"/>
  <c r="AF68" i="15"/>
  <c r="AF69" i="15"/>
  <c r="AF70" i="15"/>
  <c r="AF71" i="15"/>
  <c r="AF72" i="15"/>
  <c r="AF73" i="15"/>
  <c r="AF74" i="15"/>
  <c r="AL2" i="15"/>
  <c r="AF2" i="15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2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2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2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2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2" i="15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71" i="15"/>
  <c r="S72" i="15"/>
  <c r="S73" i="15"/>
  <c r="S2" i="15"/>
  <c r="BP3" i="15"/>
  <c r="BP4" i="15"/>
  <c r="BP5" i="15"/>
  <c r="BP6" i="15"/>
  <c r="BP7" i="15"/>
  <c r="BP8" i="15"/>
  <c r="BP9" i="15"/>
  <c r="BP10" i="15"/>
  <c r="BP11" i="15"/>
  <c r="BP12" i="15"/>
  <c r="BP13" i="15"/>
  <c r="BP14" i="15"/>
  <c r="BP15" i="15"/>
  <c r="BP16" i="15"/>
  <c r="BP17" i="15"/>
  <c r="BP18" i="15"/>
  <c r="BP19" i="15"/>
  <c r="BP20" i="15"/>
  <c r="BP21" i="15"/>
  <c r="BP22" i="15"/>
  <c r="BP23" i="15"/>
  <c r="BP24" i="15"/>
  <c r="BP25" i="15"/>
  <c r="BP26" i="15"/>
  <c r="BP27" i="15"/>
  <c r="BP28" i="15"/>
  <c r="BP29" i="15"/>
  <c r="BP30" i="15"/>
  <c r="BP31" i="15"/>
  <c r="BP32" i="15"/>
  <c r="BP33" i="15"/>
  <c r="BP34" i="15"/>
  <c r="BP35" i="15"/>
  <c r="BP36" i="15"/>
  <c r="BP37" i="15"/>
  <c r="BP38" i="15"/>
  <c r="BP39" i="15"/>
  <c r="BP40" i="15"/>
  <c r="BP41" i="15"/>
  <c r="BP42" i="15"/>
  <c r="BP43" i="15"/>
  <c r="BP44" i="15"/>
  <c r="BP45" i="15"/>
  <c r="BP46" i="15"/>
  <c r="BP47" i="15"/>
  <c r="BP48" i="15"/>
  <c r="BP49" i="15"/>
  <c r="BP50" i="15"/>
  <c r="BP51" i="15"/>
  <c r="BP52" i="15"/>
  <c r="BP53" i="15"/>
  <c r="BP54" i="15"/>
  <c r="BP55" i="15"/>
  <c r="BP56" i="15"/>
  <c r="BP57" i="15"/>
  <c r="BP58" i="15"/>
  <c r="BP59" i="15"/>
  <c r="BP60" i="15"/>
  <c r="BP61" i="15"/>
  <c r="BP62" i="15"/>
  <c r="BP63" i="15"/>
  <c r="BP64" i="15"/>
  <c r="BP65" i="15"/>
  <c r="BP66" i="15"/>
  <c r="BP67" i="15"/>
  <c r="BP68" i="15"/>
  <c r="BP69" i="15"/>
  <c r="BP70" i="15"/>
  <c r="BP71" i="15"/>
  <c r="BP72" i="15"/>
  <c r="BP73" i="15"/>
  <c r="BP74" i="15"/>
  <c r="BP2" i="15"/>
  <c r="BO3" i="15"/>
  <c r="BO4" i="15"/>
  <c r="BO5" i="15"/>
  <c r="BO6" i="15"/>
  <c r="BO7" i="15"/>
  <c r="BO8" i="15"/>
  <c r="BO9" i="15"/>
  <c r="BO10" i="15"/>
  <c r="BO11" i="15"/>
  <c r="BO12" i="15"/>
  <c r="BO13" i="15"/>
  <c r="BO14" i="15"/>
  <c r="BO15" i="15"/>
  <c r="BO16" i="15"/>
  <c r="BO17" i="15"/>
  <c r="BO18" i="15"/>
  <c r="BO19" i="15"/>
  <c r="BO20" i="15"/>
  <c r="BO21" i="15"/>
  <c r="BO22" i="15"/>
  <c r="BO23" i="15"/>
  <c r="BO24" i="15"/>
  <c r="BO25" i="15"/>
  <c r="BO26" i="15"/>
  <c r="BO27" i="15"/>
  <c r="BO28" i="15"/>
  <c r="BO29" i="15"/>
  <c r="BO30" i="15"/>
  <c r="BO31" i="15"/>
  <c r="BO32" i="15"/>
  <c r="BO33" i="15"/>
  <c r="BO34" i="15"/>
  <c r="BO35" i="15"/>
  <c r="BO36" i="15"/>
  <c r="BO37" i="15"/>
  <c r="BO38" i="15"/>
  <c r="BO39" i="15"/>
  <c r="BO40" i="15"/>
  <c r="BO41" i="15"/>
  <c r="BO42" i="15"/>
  <c r="BO43" i="15"/>
  <c r="BO44" i="15"/>
  <c r="BO45" i="15"/>
  <c r="BO46" i="15"/>
  <c r="BO47" i="15"/>
  <c r="BO48" i="15"/>
  <c r="BO49" i="15"/>
  <c r="BO50" i="15"/>
  <c r="BO51" i="15"/>
  <c r="BO52" i="15"/>
  <c r="BO53" i="15"/>
  <c r="BO54" i="15"/>
  <c r="BO55" i="15"/>
  <c r="BO56" i="15"/>
  <c r="BO57" i="15"/>
  <c r="BO58" i="15"/>
  <c r="BO59" i="15"/>
  <c r="BO60" i="15"/>
  <c r="BO61" i="15"/>
  <c r="BO62" i="15"/>
  <c r="BO63" i="15"/>
  <c r="BO64" i="15"/>
  <c r="BO65" i="15"/>
  <c r="BO66" i="15"/>
  <c r="BO67" i="15"/>
  <c r="BO68" i="15"/>
  <c r="BO69" i="15"/>
  <c r="BO70" i="15"/>
  <c r="BO71" i="15"/>
  <c r="BO72" i="15"/>
  <c r="BO73" i="15"/>
  <c r="BO74" i="15"/>
  <c r="BO2" i="15"/>
  <c r="BN3" i="15"/>
  <c r="BN4" i="15"/>
  <c r="BN5" i="15"/>
  <c r="BN6" i="15"/>
  <c r="BN7" i="15"/>
  <c r="BN8" i="15"/>
  <c r="BN9" i="15"/>
  <c r="BN10" i="15"/>
  <c r="BN11" i="15"/>
  <c r="BN12" i="15"/>
  <c r="BN13" i="15"/>
  <c r="BN14" i="15"/>
  <c r="BN15" i="15"/>
  <c r="BN16" i="15"/>
  <c r="BN17" i="15"/>
  <c r="BN18" i="15"/>
  <c r="BN19" i="15"/>
  <c r="BN20" i="15"/>
  <c r="BN21" i="15"/>
  <c r="BN22" i="15"/>
  <c r="BN23" i="15"/>
  <c r="BN24" i="15"/>
  <c r="BN25" i="15"/>
  <c r="BN26" i="15"/>
  <c r="BN27" i="15"/>
  <c r="BN28" i="15"/>
  <c r="BN29" i="15"/>
  <c r="BN30" i="15"/>
  <c r="BN31" i="15"/>
  <c r="BN32" i="15"/>
  <c r="BN33" i="15"/>
  <c r="BN34" i="15"/>
  <c r="BN35" i="15"/>
  <c r="BN36" i="15"/>
  <c r="BN37" i="15"/>
  <c r="BN38" i="15"/>
  <c r="BN39" i="15"/>
  <c r="BN40" i="15"/>
  <c r="BN41" i="15"/>
  <c r="BN42" i="15"/>
  <c r="BN43" i="15"/>
  <c r="BN44" i="15"/>
  <c r="BN45" i="15"/>
  <c r="BN46" i="15"/>
  <c r="BN47" i="15"/>
  <c r="BN48" i="15"/>
  <c r="BN49" i="15"/>
  <c r="BN50" i="15"/>
  <c r="BN51" i="15"/>
  <c r="BN52" i="15"/>
  <c r="BN53" i="15"/>
  <c r="BN54" i="15"/>
  <c r="BN55" i="15"/>
  <c r="BN56" i="15"/>
  <c r="BN57" i="15"/>
  <c r="BN58" i="15"/>
  <c r="BN59" i="15"/>
  <c r="BN60" i="15"/>
  <c r="BN61" i="15"/>
  <c r="BN62" i="15"/>
  <c r="BN63" i="15"/>
  <c r="BN64" i="15"/>
  <c r="BN65" i="15"/>
  <c r="BN66" i="15"/>
  <c r="BN67" i="15"/>
  <c r="BN68" i="15"/>
  <c r="BN69" i="15"/>
  <c r="BN70" i="15"/>
  <c r="BN71" i="15"/>
  <c r="BN72" i="15"/>
  <c r="BN73" i="15"/>
  <c r="BN74" i="15"/>
  <c r="BN2" i="15"/>
  <c r="BM3" i="15"/>
  <c r="BM4" i="15"/>
  <c r="BM5" i="15"/>
  <c r="BM6" i="15"/>
  <c r="BM7" i="15"/>
  <c r="BM8" i="15"/>
  <c r="BM9" i="15"/>
  <c r="BM10" i="15"/>
  <c r="BM11" i="15"/>
  <c r="BM12" i="15"/>
  <c r="BM13" i="15"/>
  <c r="BM14" i="15"/>
  <c r="BM15" i="15"/>
  <c r="BM16" i="15"/>
  <c r="BM17" i="15"/>
  <c r="BM18" i="15"/>
  <c r="BM19" i="15"/>
  <c r="BM20" i="15"/>
  <c r="BM21" i="15"/>
  <c r="BM22" i="15"/>
  <c r="BM23" i="15"/>
  <c r="BM24" i="15"/>
  <c r="BM25" i="15"/>
  <c r="BM26" i="15"/>
  <c r="BM27" i="15"/>
  <c r="BM28" i="15"/>
  <c r="BM29" i="15"/>
  <c r="BM30" i="15"/>
  <c r="BM31" i="15"/>
  <c r="BM32" i="15"/>
  <c r="BM33" i="15"/>
  <c r="BM34" i="15"/>
  <c r="BM35" i="15"/>
  <c r="BM36" i="15"/>
  <c r="BM37" i="15"/>
  <c r="BM38" i="15"/>
  <c r="BM39" i="15"/>
  <c r="BM40" i="15"/>
  <c r="BM41" i="15"/>
  <c r="BM42" i="15"/>
  <c r="BM43" i="15"/>
  <c r="BM44" i="15"/>
  <c r="BM45" i="15"/>
  <c r="BM46" i="15"/>
  <c r="BM47" i="15"/>
  <c r="BM48" i="15"/>
  <c r="BM49" i="15"/>
  <c r="BM50" i="15"/>
  <c r="BM51" i="15"/>
  <c r="BM52" i="15"/>
  <c r="BM53" i="15"/>
  <c r="BM54" i="15"/>
  <c r="BM55" i="15"/>
  <c r="BM56" i="15"/>
  <c r="BM57" i="15"/>
  <c r="BM58" i="15"/>
  <c r="BM59" i="15"/>
  <c r="BM60" i="15"/>
  <c r="BM61" i="15"/>
  <c r="BM62" i="15"/>
  <c r="BM63" i="15"/>
  <c r="BM64" i="15"/>
  <c r="BM65" i="15"/>
  <c r="BM66" i="15"/>
  <c r="BM67" i="15"/>
  <c r="BM68" i="15"/>
  <c r="BM69" i="15"/>
  <c r="BM70" i="15"/>
  <c r="BM71" i="15"/>
  <c r="BM72" i="15"/>
  <c r="BM73" i="15"/>
  <c r="BM74" i="15"/>
  <c r="BM2" i="15"/>
  <c r="BL3" i="15"/>
  <c r="BL4" i="15"/>
  <c r="BL5" i="15"/>
  <c r="BL6" i="15"/>
  <c r="BL7" i="15"/>
  <c r="BL8" i="15"/>
  <c r="BL9" i="15"/>
  <c r="BL10" i="15"/>
  <c r="BL11" i="15"/>
  <c r="BL12" i="15"/>
  <c r="BL13" i="15"/>
  <c r="BL14" i="15"/>
  <c r="BL15" i="15"/>
  <c r="BL16" i="15"/>
  <c r="BL17" i="15"/>
  <c r="BL18" i="15"/>
  <c r="BL19" i="15"/>
  <c r="BL20" i="15"/>
  <c r="BL21" i="15"/>
  <c r="BL22" i="15"/>
  <c r="BL23" i="15"/>
  <c r="BL24" i="15"/>
  <c r="BL25" i="15"/>
  <c r="BL26" i="15"/>
  <c r="BL27" i="15"/>
  <c r="BL28" i="15"/>
  <c r="BL29" i="15"/>
  <c r="BL30" i="15"/>
  <c r="BL31" i="15"/>
  <c r="BL32" i="15"/>
  <c r="BL33" i="15"/>
  <c r="BL34" i="15"/>
  <c r="BL35" i="15"/>
  <c r="BL36" i="15"/>
  <c r="BL37" i="15"/>
  <c r="BL38" i="15"/>
  <c r="BL39" i="15"/>
  <c r="BL40" i="15"/>
  <c r="BL41" i="15"/>
  <c r="BL42" i="15"/>
  <c r="BL43" i="15"/>
  <c r="BL44" i="15"/>
  <c r="BL45" i="15"/>
  <c r="BL46" i="15"/>
  <c r="BL47" i="15"/>
  <c r="BL48" i="15"/>
  <c r="BL49" i="15"/>
  <c r="BL50" i="15"/>
  <c r="BL51" i="15"/>
  <c r="BL52" i="15"/>
  <c r="BL53" i="15"/>
  <c r="BL54" i="15"/>
  <c r="BL55" i="15"/>
  <c r="BL56" i="15"/>
  <c r="BL57" i="15"/>
  <c r="BL58" i="15"/>
  <c r="BL59" i="15"/>
  <c r="BL60" i="15"/>
  <c r="BL61" i="15"/>
  <c r="BL62" i="15"/>
  <c r="BL63" i="15"/>
  <c r="BL64" i="15"/>
  <c r="BL65" i="15"/>
  <c r="BL66" i="15"/>
  <c r="BL67" i="15"/>
  <c r="BL68" i="15"/>
  <c r="BL69" i="15"/>
  <c r="BL70" i="15"/>
  <c r="BL71" i="15"/>
  <c r="BL72" i="15"/>
  <c r="BL73" i="15"/>
  <c r="BL74" i="15"/>
  <c r="BL2" i="15"/>
  <c r="BK3" i="15"/>
  <c r="BK4" i="15"/>
  <c r="BK5" i="15"/>
  <c r="BK6" i="15"/>
  <c r="BK7" i="15"/>
  <c r="BK8" i="15"/>
  <c r="BK9" i="15"/>
  <c r="BK10" i="15"/>
  <c r="BK11" i="15"/>
  <c r="BK12" i="15"/>
  <c r="BK13" i="15"/>
  <c r="BK14" i="15"/>
  <c r="BK15" i="15"/>
  <c r="BK16" i="15"/>
  <c r="BK17" i="15"/>
  <c r="BK18" i="15"/>
  <c r="BK19" i="15"/>
  <c r="BK20" i="15"/>
  <c r="BK21" i="15"/>
  <c r="BK22" i="15"/>
  <c r="BK23" i="15"/>
  <c r="BK24" i="15"/>
  <c r="BK25" i="15"/>
  <c r="BK26" i="15"/>
  <c r="BK27" i="15"/>
  <c r="BK28" i="15"/>
  <c r="BK29" i="15"/>
  <c r="BK30" i="15"/>
  <c r="BK31" i="15"/>
  <c r="BK32" i="15"/>
  <c r="BK33" i="15"/>
  <c r="BK34" i="15"/>
  <c r="BK35" i="15"/>
  <c r="BK36" i="15"/>
  <c r="BK37" i="15"/>
  <c r="BK38" i="15"/>
  <c r="BK39" i="15"/>
  <c r="BK40" i="15"/>
  <c r="BK41" i="15"/>
  <c r="BK42" i="15"/>
  <c r="BK43" i="15"/>
  <c r="BK44" i="15"/>
  <c r="BK45" i="15"/>
  <c r="BK46" i="15"/>
  <c r="BK47" i="15"/>
  <c r="BK48" i="15"/>
  <c r="BK49" i="15"/>
  <c r="BK50" i="15"/>
  <c r="BK51" i="15"/>
  <c r="BK52" i="15"/>
  <c r="BK53" i="15"/>
  <c r="BK54" i="15"/>
  <c r="BK55" i="15"/>
  <c r="BK56" i="15"/>
  <c r="BK57" i="15"/>
  <c r="BK58" i="15"/>
  <c r="BK59" i="15"/>
  <c r="BK60" i="15"/>
  <c r="BK61" i="15"/>
  <c r="BK62" i="15"/>
  <c r="BK63" i="15"/>
  <c r="BK64" i="15"/>
  <c r="BK65" i="15"/>
  <c r="BK66" i="15"/>
  <c r="BK67" i="15"/>
  <c r="BK68" i="15"/>
  <c r="BK69" i="15"/>
  <c r="BK70" i="15"/>
  <c r="BK71" i="15"/>
  <c r="BK72" i="15"/>
  <c r="BK73" i="15"/>
  <c r="BK74" i="15"/>
  <c r="BK2" i="15"/>
  <c r="BJ3" i="15"/>
  <c r="BJ4" i="15"/>
  <c r="BJ5" i="15"/>
  <c r="BJ6" i="15"/>
  <c r="BJ7" i="15"/>
  <c r="BJ8" i="15"/>
  <c r="BJ9" i="15"/>
  <c r="BJ10" i="15"/>
  <c r="BJ11" i="15"/>
  <c r="BJ12" i="15"/>
  <c r="BJ13" i="15"/>
  <c r="BJ14" i="15"/>
  <c r="BJ15" i="15"/>
  <c r="BJ16" i="15"/>
  <c r="BJ17" i="15"/>
  <c r="BJ18" i="15"/>
  <c r="BJ19" i="15"/>
  <c r="BJ20" i="15"/>
  <c r="BJ21" i="15"/>
  <c r="BJ22" i="15"/>
  <c r="BJ23" i="15"/>
  <c r="BJ24" i="15"/>
  <c r="BJ25" i="15"/>
  <c r="BJ26" i="15"/>
  <c r="BJ27" i="15"/>
  <c r="BJ28" i="15"/>
  <c r="BJ29" i="15"/>
  <c r="BJ30" i="15"/>
  <c r="BJ31" i="15"/>
  <c r="BJ32" i="15"/>
  <c r="BJ33" i="15"/>
  <c r="BJ34" i="15"/>
  <c r="BJ35" i="15"/>
  <c r="BJ36" i="15"/>
  <c r="BJ37" i="15"/>
  <c r="BJ38" i="15"/>
  <c r="BJ39" i="15"/>
  <c r="BJ40" i="15"/>
  <c r="BJ41" i="15"/>
  <c r="BJ42" i="15"/>
  <c r="BJ43" i="15"/>
  <c r="BJ44" i="15"/>
  <c r="BJ45" i="15"/>
  <c r="BJ46" i="15"/>
  <c r="BJ47" i="15"/>
  <c r="BJ48" i="15"/>
  <c r="BJ49" i="15"/>
  <c r="BJ50" i="15"/>
  <c r="BJ51" i="15"/>
  <c r="BJ52" i="15"/>
  <c r="BJ53" i="15"/>
  <c r="BJ54" i="15"/>
  <c r="BJ55" i="15"/>
  <c r="BJ56" i="15"/>
  <c r="BJ57" i="15"/>
  <c r="BJ58" i="15"/>
  <c r="BJ59" i="15"/>
  <c r="BJ60" i="15"/>
  <c r="BJ61" i="15"/>
  <c r="BJ62" i="15"/>
  <c r="BJ63" i="15"/>
  <c r="BJ64" i="15"/>
  <c r="BJ65" i="15"/>
  <c r="BJ66" i="15"/>
  <c r="BJ67" i="15"/>
  <c r="BJ68" i="15"/>
  <c r="BJ69" i="15"/>
  <c r="BJ70" i="15"/>
  <c r="BJ71" i="15"/>
  <c r="BJ72" i="15"/>
  <c r="BJ73" i="15"/>
  <c r="BJ74" i="15"/>
  <c r="BJ2" i="15"/>
  <c r="AW3" i="15"/>
  <c r="AW4" i="15"/>
  <c r="AW5" i="15"/>
  <c r="AW6" i="15"/>
  <c r="AW7" i="15"/>
  <c r="AW8" i="15"/>
  <c r="AW9" i="15"/>
  <c r="AW10" i="15"/>
  <c r="AW11" i="15"/>
  <c r="AW12" i="15"/>
  <c r="AW13" i="15"/>
  <c r="AW14" i="15"/>
  <c r="AW15" i="15"/>
  <c r="AW16" i="15"/>
  <c r="AW17" i="15"/>
  <c r="AW18" i="15"/>
  <c r="AW19" i="15"/>
  <c r="AW20" i="15"/>
  <c r="AW21" i="15"/>
  <c r="AW22" i="15"/>
  <c r="AW23" i="15"/>
  <c r="AW24" i="15"/>
  <c r="AW25" i="15"/>
  <c r="AW26" i="15"/>
  <c r="AW27" i="15"/>
  <c r="AW28" i="15"/>
  <c r="AW29" i="15"/>
  <c r="AW30" i="15"/>
  <c r="AW31" i="15"/>
  <c r="AW32" i="15"/>
  <c r="AW33" i="15"/>
  <c r="AW34" i="15"/>
  <c r="AW35" i="15"/>
  <c r="AW36" i="15"/>
  <c r="AW37" i="15"/>
  <c r="AW38" i="15"/>
  <c r="AW39" i="15"/>
  <c r="AW40" i="15"/>
  <c r="AW41" i="15"/>
  <c r="AW42" i="15"/>
  <c r="AW43" i="15"/>
  <c r="AW44" i="15"/>
  <c r="AW45" i="15"/>
  <c r="AW46" i="15"/>
  <c r="AW47" i="15"/>
  <c r="AW48" i="15"/>
  <c r="AW49" i="15"/>
  <c r="AW50" i="15"/>
  <c r="AW51" i="15"/>
  <c r="AW52" i="15"/>
  <c r="AW53" i="15"/>
  <c r="AW54" i="15"/>
  <c r="AW55" i="15"/>
  <c r="AW56" i="15"/>
  <c r="AW57" i="15"/>
  <c r="AW58" i="15"/>
  <c r="AW59" i="15"/>
  <c r="AW60" i="15"/>
  <c r="AW61" i="15"/>
  <c r="AW62" i="15"/>
  <c r="AW63" i="15"/>
  <c r="AW64" i="15"/>
  <c r="AW65" i="15"/>
  <c r="AW66" i="15"/>
  <c r="AW67" i="15"/>
  <c r="AW68" i="15"/>
  <c r="AW69" i="15"/>
  <c r="AW70" i="15"/>
  <c r="AW71" i="15"/>
  <c r="AW72" i="15"/>
  <c r="AW73" i="15"/>
  <c r="AW74" i="15"/>
  <c r="AW2" i="15"/>
  <c r="AV3" i="15"/>
  <c r="AV4" i="15"/>
  <c r="AV5" i="15"/>
  <c r="AV6" i="15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V29" i="15"/>
  <c r="AV30" i="15"/>
  <c r="AV31" i="15"/>
  <c r="AV32" i="15"/>
  <c r="AV33" i="15"/>
  <c r="AV34" i="15"/>
  <c r="AV35" i="15"/>
  <c r="AV36" i="15"/>
  <c r="AV37" i="15"/>
  <c r="AV38" i="15"/>
  <c r="AV39" i="15"/>
  <c r="AV40" i="15"/>
  <c r="AV41" i="15"/>
  <c r="AV42" i="15"/>
  <c r="AV43" i="15"/>
  <c r="AV44" i="15"/>
  <c r="AV45" i="15"/>
  <c r="AV46" i="15"/>
  <c r="AV47" i="15"/>
  <c r="AV48" i="15"/>
  <c r="AV49" i="15"/>
  <c r="AV50" i="15"/>
  <c r="AV51" i="15"/>
  <c r="AV52" i="15"/>
  <c r="AV53" i="15"/>
  <c r="AV54" i="15"/>
  <c r="AV55" i="15"/>
  <c r="AV56" i="15"/>
  <c r="AV57" i="15"/>
  <c r="AV58" i="15"/>
  <c r="AV59" i="15"/>
  <c r="AV60" i="15"/>
  <c r="AV61" i="15"/>
  <c r="AV62" i="15"/>
  <c r="AV63" i="15"/>
  <c r="AV64" i="15"/>
  <c r="AV65" i="15"/>
  <c r="AV66" i="15"/>
  <c r="AV67" i="15"/>
  <c r="AV68" i="15"/>
  <c r="AV69" i="15"/>
  <c r="AV70" i="15"/>
  <c r="AV71" i="15"/>
  <c r="AV72" i="15"/>
  <c r="AV73" i="15"/>
  <c r="AV74" i="15"/>
  <c r="AV2" i="15"/>
  <c r="AU3" i="15"/>
  <c r="AU4" i="15"/>
  <c r="AU5" i="15"/>
  <c r="AU6" i="15"/>
  <c r="AU7" i="15"/>
  <c r="AU8" i="15"/>
  <c r="AU9" i="15"/>
  <c r="AU10" i="15"/>
  <c r="AU11" i="15"/>
  <c r="AU12" i="15"/>
  <c r="AU13" i="15"/>
  <c r="AU14" i="15"/>
  <c r="AU15" i="15"/>
  <c r="AU16" i="15"/>
  <c r="AU17" i="15"/>
  <c r="AU18" i="15"/>
  <c r="AU19" i="15"/>
  <c r="AU20" i="15"/>
  <c r="AU21" i="15"/>
  <c r="AU22" i="15"/>
  <c r="AU23" i="15"/>
  <c r="AU24" i="15"/>
  <c r="AU25" i="15"/>
  <c r="AU26" i="15"/>
  <c r="AU27" i="15"/>
  <c r="AU28" i="15"/>
  <c r="AU29" i="15"/>
  <c r="AU30" i="15"/>
  <c r="AU31" i="15"/>
  <c r="AU32" i="15"/>
  <c r="AU33" i="15"/>
  <c r="AU34" i="15"/>
  <c r="AU35" i="15"/>
  <c r="AU36" i="15"/>
  <c r="AU37" i="15"/>
  <c r="AU38" i="15"/>
  <c r="AU39" i="15"/>
  <c r="AU40" i="15"/>
  <c r="AU41" i="15"/>
  <c r="AU42" i="15"/>
  <c r="AU43" i="15"/>
  <c r="AU44" i="15"/>
  <c r="AU45" i="15"/>
  <c r="AU46" i="15"/>
  <c r="AU47" i="15"/>
  <c r="AU48" i="15"/>
  <c r="AU49" i="15"/>
  <c r="AU50" i="15"/>
  <c r="AU51" i="15"/>
  <c r="AU52" i="15"/>
  <c r="AU53" i="15"/>
  <c r="AU54" i="15"/>
  <c r="AU55" i="15"/>
  <c r="AU56" i="15"/>
  <c r="AU57" i="15"/>
  <c r="AU58" i="15"/>
  <c r="AU59" i="15"/>
  <c r="AU60" i="15"/>
  <c r="AU61" i="15"/>
  <c r="AU62" i="15"/>
  <c r="AU63" i="15"/>
  <c r="AU64" i="15"/>
  <c r="AU65" i="15"/>
  <c r="AU66" i="15"/>
  <c r="AU67" i="15"/>
  <c r="AU68" i="15"/>
  <c r="AU69" i="15"/>
  <c r="AU70" i="15"/>
  <c r="AU71" i="15"/>
  <c r="AU72" i="15"/>
  <c r="AU73" i="15"/>
  <c r="AU74" i="15"/>
  <c r="AU2" i="15"/>
  <c r="AT3" i="15"/>
  <c r="AT4" i="15"/>
  <c r="AT5" i="15"/>
  <c r="AT6" i="15"/>
  <c r="AT7" i="15"/>
  <c r="AT8" i="15"/>
  <c r="AT9" i="15"/>
  <c r="AT10" i="15"/>
  <c r="AT11" i="15"/>
  <c r="AT12" i="15"/>
  <c r="AT13" i="15"/>
  <c r="AT14" i="15"/>
  <c r="AT15" i="15"/>
  <c r="AT16" i="15"/>
  <c r="AT17" i="15"/>
  <c r="AT18" i="15"/>
  <c r="AT19" i="15"/>
  <c r="AT20" i="15"/>
  <c r="AT21" i="15"/>
  <c r="AT22" i="15"/>
  <c r="AT23" i="15"/>
  <c r="AT24" i="15"/>
  <c r="AT25" i="15"/>
  <c r="AT26" i="15"/>
  <c r="AT27" i="15"/>
  <c r="AT28" i="15"/>
  <c r="AT29" i="15"/>
  <c r="AT30" i="15"/>
  <c r="AT31" i="15"/>
  <c r="AT32" i="15"/>
  <c r="AT33" i="15"/>
  <c r="AT34" i="15"/>
  <c r="AT35" i="15"/>
  <c r="AT36" i="15"/>
  <c r="AT37" i="15"/>
  <c r="AT38" i="15"/>
  <c r="AT39" i="15"/>
  <c r="AT40" i="15"/>
  <c r="AT41" i="15"/>
  <c r="AT42" i="15"/>
  <c r="AT43" i="15"/>
  <c r="AT44" i="15"/>
  <c r="AT45" i="15"/>
  <c r="AT46" i="15"/>
  <c r="AT47" i="15"/>
  <c r="AT48" i="15"/>
  <c r="AT49" i="15"/>
  <c r="AT50" i="15"/>
  <c r="AT51" i="15"/>
  <c r="AT52" i="15"/>
  <c r="AT53" i="15"/>
  <c r="AT54" i="15"/>
  <c r="AT55" i="15"/>
  <c r="AT56" i="15"/>
  <c r="AT57" i="15"/>
  <c r="AT58" i="15"/>
  <c r="AT59" i="15"/>
  <c r="AT60" i="15"/>
  <c r="AT61" i="15"/>
  <c r="AT62" i="15"/>
  <c r="AT63" i="15"/>
  <c r="AT64" i="15"/>
  <c r="AT65" i="15"/>
  <c r="AT66" i="15"/>
  <c r="AT67" i="15"/>
  <c r="AT68" i="15"/>
  <c r="AT69" i="15"/>
  <c r="AT70" i="15"/>
  <c r="AT71" i="15"/>
  <c r="AT72" i="15"/>
  <c r="AT73" i="15"/>
  <c r="AT74" i="15"/>
  <c r="AT2" i="15"/>
  <c r="AS3" i="15"/>
  <c r="AS4" i="15"/>
  <c r="AS5" i="15"/>
  <c r="AS6" i="15"/>
  <c r="AS7" i="15"/>
  <c r="AS8" i="15"/>
  <c r="AS9" i="15"/>
  <c r="AS10" i="15"/>
  <c r="AS11" i="15"/>
  <c r="AS12" i="15"/>
  <c r="AS13" i="15"/>
  <c r="AS14" i="15"/>
  <c r="AS15" i="15"/>
  <c r="AS16" i="15"/>
  <c r="AS17" i="15"/>
  <c r="AS18" i="15"/>
  <c r="AS19" i="15"/>
  <c r="AS20" i="15"/>
  <c r="AS21" i="15"/>
  <c r="AS22" i="15"/>
  <c r="AS23" i="15"/>
  <c r="AS24" i="15"/>
  <c r="AS25" i="15"/>
  <c r="AS26" i="15"/>
  <c r="AS27" i="15"/>
  <c r="AS28" i="15"/>
  <c r="AS29" i="15"/>
  <c r="AS30" i="15"/>
  <c r="AS31" i="15"/>
  <c r="AS32" i="15"/>
  <c r="AS33" i="15"/>
  <c r="AS34" i="15"/>
  <c r="AS35" i="15"/>
  <c r="AS36" i="15"/>
  <c r="AS37" i="15"/>
  <c r="AS38" i="15"/>
  <c r="AS39" i="15"/>
  <c r="AS40" i="15"/>
  <c r="AS41" i="15"/>
  <c r="AS42" i="15"/>
  <c r="AS43" i="15"/>
  <c r="AS44" i="15"/>
  <c r="AS45" i="15"/>
  <c r="AS46" i="15"/>
  <c r="AS47" i="15"/>
  <c r="AS48" i="15"/>
  <c r="AS49" i="15"/>
  <c r="AS50" i="15"/>
  <c r="AS51" i="15"/>
  <c r="AS52" i="15"/>
  <c r="AS53" i="15"/>
  <c r="AS54" i="15"/>
  <c r="AS55" i="15"/>
  <c r="AS56" i="15"/>
  <c r="AS57" i="15"/>
  <c r="AS58" i="15"/>
  <c r="AS59" i="15"/>
  <c r="AS60" i="15"/>
  <c r="AS61" i="15"/>
  <c r="AS62" i="15"/>
  <c r="AS63" i="15"/>
  <c r="AS64" i="15"/>
  <c r="AS65" i="15"/>
  <c r="AS66" i="15"/>
  <c r="AS67" i="15"/>
  <c r="AS68" i="15"/>
  <c r="AS69" i="15"/>
  <c r="AS70" i="15"/>
  <c r="AS71" i="15"/>
  <c r="AS72" i="15"/>
  <c r="AS73" i="15"/>
  <c r="AS74" i="15"/>
  <c r="AS2" i="15"/>
  <c r="AR3" i="15"/>
  <c r="AR4" i="15"/>
  <c r="AR5" i="15"/>
  <c r="AR6" i="15"/>
  <c r="AR7" i="15"/>
  <c r="AR8" i="15"/>
  <c r="AR9" i="15"/>
  <c r="AR10" i="15"/>
  <c r="AR11" i="15"/>
  <c r="AR12" i="15"/>
  <c r="AR13" i="15"/>
  <c r="AR14" i="15"/>
  <c r="AR15" i="15"/>
  <c r="AR16" i="15"/>
  <c r="AR17" i="15"/>
  <c r="AR18" i="15"/>
  <c r="AR19" i="15"/>
  <c r="AR20" i="15"/>
  <c r="AR21" i="15"/>
  <c r="AR22" i="15"/>
  <c r="AR23" i="15"/>
  <c r="AR24" i="15"/>
  <c r="AR25" i="15"/>
  <c r="AR26" i="15"/>
  <c r="AR27" i="15"/>
  <c r="AR28" i="15"/>
  <c r="AR29" i="15"/>
  <c r="AR30" i="15"/>
  <c r="AR31" i="15"/>
  <c r="AR32" i="15"/>
  <c r="AR33" i="15"/>
  <c r="AR34" i="15"/>
  <c r="AR35" i="15"/>
  <c r="AR36" i="15"/>
  <c r="AR37" i="15"/>
  <c r="AR38" i="15"/>
  <c r="AR39" i="15"/>
  <c r="AR40" i="15"/>
  <c r="AR41" i="15"/>
  <c r="AR42" i="15"/>
  <c r="AR43" i="15"/>
  <c r="AR44" i="15"/>
  <c r="AR45" i="15"/>
  <c r="AR46" i="15"/>
  <c r="AR47" i="15"/>
  <c r="AR48" i="15"/>
  <c r="AR49" i="15"/>
  <c r="AR50" i="15"/>
  <c r="AR51" i="15"/>
  <c r="AR52" i="15"/>
  <c r="AR53" i="15"/>
  <c r="AR54" i="15"/>
  <c r="AR55" i="15"/>
  <c r="AR56" i="15"/>
  <c r="AR57" i="15"/>
  <c r="AR58" i="15"/>
  <c r="AR59" i="15"/>
  <c r="AR60" i="15"/>
  <c r="AR61" i="15"/>
  <c r="AR62" i="15"/>
  <c r="AR63" i="15"/>
  <c r="AR64" i="15"/>
  <c r="AR65" i="15"/>
  <c r="AR66" i="15"/>
  <c r="AR67" i="15"/>
  <c r="AR68" i="15"/>
  <c r="AR69" i="15"/>
  <c r="AR70" i="15"/>
  <c r="AR71" i="15"/>
  <c r="AR72" i="15"/>
  <c r="AR73" i="15"/>
  <c r="AR74" i="15"/>
  <c r="AR2" i="15"/>
  <c r="AQ3" i="15"/>
  <c r="AQ4" i="15"/>
  <c r="AQ5" i="15"/>
  <c r="AQ6" i="15"/>
  <c r="AQ7" i="15"/>
  <c r="AQ8" i="15"/>
  <c r="AQ9" i="15"/>
  <c r="AQ10" i="15"/>
  <c r="AQ11" i="15"/>
  <c r="AQ12" i="15"/>
  <c r="AQ13" i="15"/>
  <c r="AQ14" i="15"/>
  <c r="AQ15" i="15"/>
  <c r="AQ16" i="15"/>
  <c r="AQ17" i="15"/>
  <c r="AQ18" i="15"/>
  <c r="AQ19" i="15"/>
  <c r="AQ20" i="15"/>
  <c r="AQ21" i="15"/>
  <c r="AQ22" i="15"/>
  <c r="AQ23" i="15"/>
  <c r="AQ24" i="15"/>
  <c r="AQ25" i="15"/>
  <c r="AQ26" i="15"/>
  <c r="AQ27" i="15"/>
  <c r="AQ28" i="15"/>
  <c r="AQ29" i="15"/>
  <c r="AQ30" i="15"/>
  <c r="AQ31" i="15"/>
  <c r="AQ32" i="15"/>
  <c r="AQ33" i="15"/>
  <c r="AQ34" i="15"/>
  <c r="AQ35" i="15"/>
  <c r="AQ36" i="15"/>
  <c r="AQ37" i="15"/>
  <c r="AQ38" i="15"/>
  <c r="AQ39" i="15"/>
  <c r="AQ40" i="15"/>
  <c r="AQ41" i="15"/>
  <c r="AQ42" i="15"/>
  <c r="AQ43" i="15"/>
  <c r="AQ44" i="15"/>
  <c r="AQ45" i="15"/>
  <c r="AQ46" i="15"/>
  <c r="AQ47" i="15"/>
  <c r="AQ48" i="15"/>
  <c r="AQ49" i="15"/>
  <c r="AQ50" i="15"/>
  <c r="AQ51" i="15"/>
  <c r="AQ52" i="15"/>
  <c r="AQ53" i="15"/>
  <c r="AQ54" i="15"/>
  <c r="AQ55" i="15"/>
  <c r="AQ56" i="15"/>
  <c r="AQ57" i="15"/>
  <c r="AQ58" i="15"/>
  <c r="AQ59" i="15"/>
  <c r="AQ60" i="15"/>
  <c r="AQ61" i="15"/>
  <c r="AQ62" i="15"/>
  <c r="AQ63" i="15"/>
  <c r="AQ64" i="15"/>
  <c r="AQ65" i="15"/>
  <c r="AQ66" i="15"/>
  <c r="AQ67" i="15"/>
  <c r="AQ68" i="15"/>
  <c r="AQ69" i="15"/>
  <c r="AQ70" i="15"/>
  <c r="AQ71" i="15"/>
  <c r="AQ72" i="15"/>
  <c r="AQ73" i="15"/>
  <c r="AQ74" i="15"/>
  <c r="AQ2" i="15"/>
  <c r="AD3" i="15"/>
  <c r="AD4" i="15"/>
  <c r="AD5" i="15"/>
  <c r="AD6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AD36" i="15"/>
  <c r="AD37" i="15"/>
  <c r="AD38" i="15"/>
  <c r="AD39" i="15"/>
  <c r="AD40" i="15"/>
  <c r="AD41" i="15"/>
  <c r="AD42" i="15"/>
  <c r="AD43" i="15"/>
  <c r="AD44" i="15"/>
  <c r="AD45" i="15"/>
  <c r="AD46" i="15"/>
  <c r="AD47" i="15"/>
  <c r="AD48" i="15"/>
  <c r="AD49" i="15"/>
  <c r="AD50" i="15"/>
  <c r="AD51" i="15"/>
  <c r="AD52" i="15"/>
  <c r="AD53" i="15"/>
  <c r="AD54" i="15"/>
  <c r="AD55" i="15"/>
  <c r="AD56" i="15"/>
  <c r="AD57" i="15"/>
  <c r="AD58" i="15"/>
  <c r="AD59" i="15"/>
  <c r="AD60" i="15"/>
  <c r="AD61" i="15"/>
  <c r="AD62" i="15"/>
  <c r="AD63" i="15"/>
  <c r="AD64" i="15"/>
  <c r="AD65" i="15"/>
  <c r="AD66" i="15"/>
  <c r="AD67" i="15"/>
  <c r="AD68" i="15"/>
  <c r="AD69" i="15"/>
  <c r="AD70" i="15"/>
  <c r="AD71" i="15"/>
  <c r="AD72" i="15"/>
  <c r="AD73" i="15"/>
  <c r="AD74" i="15"/>
  <c r="AD2" i="15"/>
  <c r="AC3" i="15"/>
  <c r="AC4" i="15"/>
  <c r="AC5" i="15"/>
  <c r="AC6" i="15"/>
  <c r="AC7" i="15"/>
  <c r="AC8" i="15"/>
  <c r="AC9" i="15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AC47" i="15"/>
  <c r="AC48" i="15"/>
  <c r="AC49" i="15"/>
  <c r="AC50" i="15"/>
  <c r="AC51" i="15"/>
  <c r="AC52" i="15"/>
  <c r="AC53" i="15"/>
  <c r="AC54" i="15"/>
  <c r="AC55" i="15"/>
  <c r="AC56" i="15"/>
  <c r="AC57" i="15"/>
  <c r="AC58" i="15"/>
  <c r="AC59" i="15"/>
  <c r="AC60" i="15"/>
  <c r="AC61" i="15"/>
  <c r="AC62" i="15"/>
  <c r="AC63" i="15"/>
  <c r="AC64" i="15"/>
  <c r="AC65" i="15"/>
  <c r="AC66" i="15"/>
  <c r="AC67" i="15"/>
  <c r="AC68" i="15"/>
  <c r="AC69" i="15"/>
  <c r="AC70" i="15"/>
  <c r="AC71" i="15"/>
  <c r="AC72" i="15"/>
  <c r="AC73" i="15"/>
  <c r="AC74" i="15"/>
  <c r="AC2" i="15"/>
  <c r="AB3" i="15"/>
  <c r="AB4" i="15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6" i="15"/>
  <c r="AB27" i="15"/>
  <c r="AB28" i="15"/>
  <c r="AB29" i="15"/>
  <c r="AB30" i="15"/>
  <c r="AB31" i="15"/>
  <c r="AB32" i="15"/>
  <c r="AB33" i="15"/>
  <c r="AB34" i="15"/>
  <c r="AB35" i="15"/>
  <c r="AB36" i="15"/>
  <c r="AB37" i="15"/>
  <c r="AB38" i="15"/>
  <c r="AB39" i="15"/>
  <c r="AB40" i="15"/>
  <c r="AB41" i="15"/>
  <c r="AB42" i="15"/>
  <c r="AB43" i="15"/>
  <c r="AB44" i="15"/>
  <c r="AB45" i="15"/>
  <c r="AB46" i="15"/>
  <c r="AB47" i="15"/>
  <c r="AB48" i="15"/>
  <c r="AB49" i="15"/>
  <c r="AB50" i="15"/>
  <c r="AB51" i="15"/>
  <c r="AB52" i="15"/>
  <c r="AB53" i="15"/>
  <c r="AB54" i="15"/>
  <c r="AB55" i="15"/>
  <c r="AB56" i="15"/>
  <c r="AB57" i="15"/>
  <c r="AB58" i="15"/>
  <c r="AB59" i="15"/>
  <c r="AB60" i="15"/>
  <c r="AB61" i="15"/>
  <c r="AB62" i="15"/>
  <c r="AB63" i="15"/>
  <c r="AB64" i="15"/>
  <c r="AB65" i="15"/>
  <c r="AB66" i="15"/>
  <c r="AB67" i="15"/>
  <c r="AB68" i="15"/>
  <c r="AB69" i="15"/>
  <c r="AB70" i="15"/>
  <c r="AB71" i="15"/>
  <c r="AB72" i="15"/>
  <c r="AB73" i="15"/>
  <c r="AB74" i="15"/>
  <c r="AB2" i="15"/>
  <c r="AA3" i="15"/>
  <c r="AA4" i="15"/>
  <c r="AA5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26" i="15"/>
  <c r="AA27" i="15"/>
  <c r="AA28" i="15"/>
  <c r="AA29" i="15"/>
  <c r="AA30" i="15"/>
  <c r="AA31" i="15"/>
  <c r="AA32" i="15"/>
  <c r="AA33" i="15"/>
  <c r="AA34" i="15"/>
  <c r="AA35" i="15"/>
  <c r="AA36" i="15"/>
  <c r="AA37" i="15"/>
  <c r="AA38" i="15"/>
  <c r="AA39" i="15"/>
  <c r="AA40" i="15"/>
  <c r="AA41" i="15"/>
  <c r="AA42" i="15"/>
  <c r="AA43" i="15"/>
  <c r="AA44" i="15"/>
  <c r="AA45" i="15"/>
  <c r="AA46" i="15"/>
  <c r="AA47" i="15"/>
  <c r="AA48" i="15"/>
  <c r="AA49" i="15"/>
  <c r="AA50" i="15"/>
  <c r="AA51" i="15"/>
  <c r="AA52" i="15"/>
  <c r="AA53" i="15"/>
  <c r="AA54" i="15"/>
  <c r="AA55" i="15"/>
  <c r="AA56" i="15"/>
  <c r="AA57" i="15"/>
  <c r="AA58" i="15"/>
  <c r="AA59" i="15"/>
  <c r="AA60" i="15"/>
  <c r="AA61" i="15"/>
  <c r="AA62" i="15"/>
  <c r="AA63" i="15"/>
  <c r="AA64" i="15"/>
  <c r="AA65" i="15"/>
  <c r="AA66" i="15"/>
  <c r="AA67" i="15"/>
  <c r="AA68" i="15"/>
  <c r="AA69" i="15"/>
  <c r="AA70" i="15"/>
  <c r="AA71" i="15"/>
  <c r="AA72" i="15"/>
  <c r="AA73" i="15"/>
  <c r="AA74" i="15"/>
  <c r="AA2" i="15"/>
  <c r="Z3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40" i="15"/>
  <c r="Z41" i="15"/>
  <c r="Z42" i="15"/>
  <c r="Z43" i="15"/>
  <c r="Z44" i="15"/>
  <c r="Z45" i="15"/>
  <c r="Z46" i="15"/>
  <c r="Z47" i="15"/>
  <c r="Z48" i="15"/>
  <c r="Z49" i="15"/>
  <c r="Z50" i="15"/>
  <c r="Z51" i="15"/>
  <c r="Z52" i="15"/>
  <c r="Z53" i="15"/>
  <c r="Z54" i="15"/>
  <c r="Z55" i="15"/>
  <c r="Z56" i="15"/>
  <c r="Z57" i="15"/>
  <c r="Z58" i="15"/>
  <c r="Z59" i="15"/>
  <c r="Z60" i="15"/>
  <c r="Z61" i="15"/>
  <c r="Z62" i="15"/>
  <c r="Z63" i="15"/>
  <c r="Z64" i="15"/>
  <c r="Z65" i="15"/>
  <c r="Z66" i="15"/>
  <c r="Z67" i="15"/>
  <c r="Z68" i="15"/>
  <c r="Z69" i="15"/>
  <c r="Z70" i="15"/>
  <c r="Z71" i="15"/>
  <c r="Z72" i="15"/>
  <c r="Z73" i="15"/>
  <c r="Z74" i="15"/>
  <c r="Z2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2" i="15"/>
  <c r="X3" i="15"/>
  <c r="X4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X55" i="15"/>
  <c r="X56" i="15"/>
  <c r="X57" i="15"/>
  <c r="X58" i="15"/>
  <c r="X59" i="15"/>
  <c r="X60" i="15"/>
  <c r="X61" i="15"/>
  <c r="X62" i="15"/>
  <c r="X63" i="15"/>
  <c r="X64" i="15"/>
  <c r="X65" i="15"/>
  <c r="X66" i="15"/>
  <c r="X67" i="15"/>
  <c r="X68" i="15"/>
  <c r="X69" i="15"/>
  <c r="X70" i="15"/>
  <c r="X71" i="15"/>
  <c r="X72" i="15"/>
  <c r="X73" i="15"/>
  <c r="X74" i="15"/>
  <c r="X2" i="15"/>
  <c r="S74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2" i="15"/>
  <c r="J2" i="15"/>
  <c r="K2" i="15"/>
  <c r="H2" i="15"/>
  <c r="G2" i="15"/>
  <c r="F2" i="15"/>
  <c r="E2" i="15"/>
  <c r="B2" i="15"/>
  <c r="A3" i="15"/>
  <c r="K3" i="15" s="1"/>
  <c r="C8" i="8"/>
  <c r="B3" i="15" l="1"/>
  <c r="E3" i="15"/>
  <c r="A4" i="15"/>
  <c r="E4" i="15" s="1"/>
  <c r="A5" i="15"/>
  <c r="J4" i="15"/>
  <c r="G4" i="15"/>
  <c r="B4" i="15"/>
  <c r="G3" i="15"/>
  <c r="H3" i="15"/>
  <c r="F3" i="15"/>
  <c r="J3" i="15"/>
  <c r="H4" i="15" l="1"/>
  <c r="F4" i="15"/>
  <c r="K4" i="15"/>
  <c r="B5" i="15"/>
  <c r="A6" i="15"/>
  <c r="K5" i="15"/>
  <c r="G5" i="15"/>
  <c r="J5" i="15"/>
  <c r="H5" i="15"/>
  <c r="E5" i="15"/>
  <c r="F5" i="15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3" i="11"/>
  <c r="F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3" i="11"/>
  <c r="B80" i="11"/>
  <c r="C80" i="11" s="1"/>
  <c r="B79" i="11"/>
  <c r="F79" i="11" s="1"/>
  <c r="B78" i="11"/>
  <c r="C78" i="11" s="1"/>
  <c r="B77" i="11"/>
  <c r="C77" i="11" s="1"/>
  <c r="B76" i="11"/>
  <c r="C76" i="11" s="1"/>
  <c r="F75" i="11"/>
  <c r="B75" i="11"/>
  <c r="C75" i="11" s="1"/>
  <c r="B74" i="11"/>
  <c r="F74" i="11" s="1"/>
  <c r="C73" i="11"/>
  <c r="B73" i="11"/>
  <c r="F73" i="11" s="1"/>
  <c r="B72" i="11"/>
  <c r="C72" i="11" s="1"/>
  <c r="B71" i="11"/>
  <c r="F71" i="11" s="1"/>
  <c r="F70" i="11"/>
  <c r="B70" i="11"/>
  <c r="C70" i="11" s="1"/>
  <c r="F69" i="11"/>
  <c r="B69" i="11"/>
  <c r="C69" i="11" s="1"/>
  <c r="C68" i="11"/>
  <c r="F68" i="11"/>
  <c r="B68" i="11"/>
  <c r="F67" i="11"/>
  <c r="B67" i="11"/>
  <c r="C67" i="11" s="1"/>
  <c r="C66" i="11"/>
  <c r="B66" i="11"/>
  <c r="F66" i="11" s="1"/>
  <c r="C65" i="11"/>
  <c r="B65" i="11"/>
  <c r="F65" i="11" s="1"/>
  <c r="B64" i="11"/>
  <c r="C64" i="11" s="1"/>
  <c r="B63" i="11"/>
  <c r="F63" i="11" s="1"/>
  <c r="F62" i="11"/>
  <c r="B62" i="11"/>
  <c r="C62" i="11" s="1"/>
  <c r="F61" i="11"/>
  <c r="B61" i="11"/>
  <c r="C61" i="11" s="1"/>
  <c r="C60" i="11"/>
  <c r="F60" i="11"/>
  <c r="B60" i="11"/>
  <c r="F59" i="11"/>
  <c r="B59" i="11"/>
  <c r="C59" i="11" s="1"/>
  <c r="C58" i="11"/>
  <c r="B58" i="11"/>
  <c r="F58" i="11" s="1"/>
  <c r="C57" i="11"/>
  <c r="B57" i="11"/>
  <c r="F57" i="11" s="1"/>
  <c r="B56" i="11"/>
  <c r="C56" i="11" s="1"/>
  <c r="B55" i="11"/>
  <c r="F55" i="11" s="1"/>
  <c r="F54" i="11"/>
  <c r="B54" i="11"/>
  <c r="C54" i="11" s="1"/>
  <c r="F53" i="11"/>
  <c r="B53" i="11"/>
  <c r="C53" i="11" s="1"/>
  <c r="C52" i="11"/>
  <c r="F52" i="11"/>
  <c r="B52" i="11"/>
  <c r="F51" i="11"/>
  <c r="B51" i="11"/>
  <c r="C51" i="11" s="1"/>
  <c r="C50" i="11"/>
  <c r="B50" i="11"/>
  <c r="F50" i="11" s="1"/>
  <c r="C49" i="11"/>
  <c r="B49" i="11"/>
  <c r="F49" i="11" s="1"/>
  <c r="B48" i="11"/>
  <c r="C48" i="11" s="1"/>
  <c r="B47" i="11"/>
  <c r="F47" i="11" s="1"/>
  <c r="F46" i="11"/>
  <c r="B46" i="11"/>
  <c r="C46" i="11" s="1"/>
  <c r="C45" i="11"/>
  <c r="F45" i="11"/>
  <c r="B45" i="11"/>
  <c r="C44" i="11"/>
  <c r="F44" i="11"/>
  <c r="B44" i="11"/>
  <c r="F43" i="11"/>
  <c r="B43" i="11"/>
  <c r="C43" i="11" s="1"/>
  <c r="C42" i="11"/>
  <c r="B42" i="11"/>
  <c r="F42" i="11" s="1"/>
  <c r="C41" i="11"/>
  <c r="B41" i="11"/>
  <c r="F41" i="11" s="1"/>
  <c r="B40" i="11"/>
  <c r="C40" i="11" s="1"/>
  <c r="F39" i="11"/>
  <c r="B39" i="11"/>
  <c r="C39" i="11" s="1"/>
  <c r="B38" i="11"/>
  <c r="C38" i="11" s="1"/>
  <c r="C37" i="11"/>
  <c r="F37" i="11"/>
  <c r="B37" i="11"/>
  <c r="C36" i="11"/>
  <c r="F36" i="11"/>
  <c r="B36" i="11"/>
  <c r="F35" i="11"/>
  <c r="B35" i="11"/>
  <c r="C35" i="11" s="1"/>
  <c r="C34" i="11"/>
  <c r="B34" i="11"/>
  <c r="F34" i="11" s="1"/>
  <c r="C33" i="11"/>
  <c r="F33" i="11"/>
  <c r="B33" i="11"/>
  <c r="B32" i="11"/>
  <c r="C32" i="11" s="1"/>
  <c r="C31" i="11"/>
  <c r="F31" i="11"/>
  <c r="B31" i="11"/>
  <c r="B30" i="11"/>
  <c r="C30" i="11" s="1"/>
  <c r="C29" i="11"/>
  <c r="F29" i="11"/>
  <c r="B29" i="11"/>
  <c r="C28" i="11"/>
  <c r="F28" i="11"/>
  <c r="B28" i="11"/>
  <c r="F27" i="11"/>
  <c r="B27" i="11"/>
  <c r="C27" i="11" s="1"/>
  <c r="C26" i="11"/>
  <c r="B26" i="11"/>
  <c r="F26" i="11" s="1"/>
  <c r="C25" i="11"/>
  <c r="F25" i="11"/>
  <c r="B25" i="11"/>
  <c r="B24" i="11"/>
  <c r="C24" i="11" s="1"/>
  <c r="C23" i="11"/>
  <c r="F23" i="11"/>
  <c r="B23" i="11"/>
  <c r="B22" i="11"/>
  <c r="C22" i="11" s="1"/>
  <c r="C21" i="11"/>
  <c r="F21" i="11"/>
  <c r="B21" i="11"/>
  <c r="C20" i="11"/>
  <c r="F20" i="11"/>
  <c r="B20" i="11"/>
  <c r="F19" i="11"/>
  <c r="B19" i="11"/>
  <c r="C19" i="11" s="1"/>
  <c r="C18" i="11"/>
  <c r="B18" i="11"/>
  <c r="F18" i="11" s="1"/>
  <c r="C17" i="11"/>
  <c r="F17" i="11"/>
  <c r="B17" i="11"/>
  <c r="B16" i="11"/>
  <c r="C16" i="11" s="1"/>
  <c r="C15" i="11"/>
  <c r="F15" i="11"/>
  <c r="B15" i="11"/>
  <c r="B14" i="11"/>
  <c r="C14" i="11" s="1"/>
  <c r="C13" i="11"/>
  <c r="F13" i="11"/>
  <c r="B13" i="11"/>
  <c r="C12" i="11"/>
  <c r="F12" i="11"/>
  <c r="B12" i="11"/>
  <c r="F11" i="11"/>
  <c r="B11" i="11"/>
  <c r="C11" i="11" s="1"/>
  <c r="C10" i="11"/>
  <c r="B10" i="11"/>
  <c r="F10" i="11" s="1"/>
  <c r="C9" i="11"/>
  <c r="F9" i="11"/>
  <c r="B9" i="11"/>
  <c r="B8" i="11"/>
  <c r="C8" i="11" s="1"/>
  <c r="C7" i="11"/>
  <c r="F7" i="11"/>
  <c r="B7" i="11"/>
  <c r="B6" i="11"/>
  <c r="C6" i="11" s="1"/>
  <c r="C5" i="11"/>
  <c r="F5" i="11"/>
  <c r="B5" i="11"/>
  <c r="C4" i="11"/>
  <c r="F4" i="11"/>
  <c r="B4" i="11"/>
  <c r="B3" i="11"/>
  <c r="C3" i="11" s="1"/>
  <c r="S98" i="10"/>
  <c r="R98" i="10"/>
  <c r="Q98" i="10"/>
  <c r="P98" i="10"/>
  <c r="O98" i="10"/>
  <c r="N98" i="10"/>
  <c r="M98" i="10"/>
  <c r="L98" i="10"/>
  <c r="I98" i="10"/>
  <c r="H98" i="10"/>
  <c r="G98" i="10"/>
  <c r="F98" i="10"/>
  <c r="E98" i="10"/>
  <c r="D98" i="10"/>
  <c r="C98" i="10"/>
  <c r="B98" i="10"/>
  <c r="S97" i="10"/>
  <c r="R97" i="10"/>
  <c r="Q97" i="10"/>
  <c r="P97" i="10"/>
  <c r="O97" i="10"/>
  <c r="N97" i="10"/>
  <c r="M97" i="10"/>
  <c r="L97" i="10"/>
  <c r="I97" i="10"/>
  <c r="H97" i="10"/>
  <c r="G97" i="10"/>
  <c r="F97" i="10"/>
  <c r="E97" i="10"/>
  <c r="D97" i="10"/>
  <c r="C97" i="10"/>
  <c r="B97" i="10"/>
  <c r="S96" i="10"/>
  <c r="R96" i="10"/>
  <c r="Q96" i="10"/>
  <c r="P96" i="10"/>
  <c r="O96" i="10"/>
  <c r="N96" i="10"/>
  <c r="M96" i="10"/>
  <c r="L96" i="10"/>
  <c r="I96" i="10"/>
  <c r="H96" i="10"/>
  <c r="G96" i="10"/>
  <c r="F96" i="10"/>
  <c r="E96" i="10"/>
  <c r="D96" i="10"/>
  <c r="C96" i="10"/>
  <c r="B96" i="10"/>
  <c r="S95" i="10"/>
  <c r="R95" i="10"/>
  <c r="Q95" i="10"/>
  <c r="P95" i="10"/>
  <c r="O95" i="10"/>
  <c r="N95" i="10"/>
  <c r="M95" i="10"/>
  <c r="L95" i="10"/>
  <c r="I95" i="10"/>
  <c r="H95" i="10"/>
  <c r="G95" i="10"/>
  <c r="F95" i="10"/>
  <c r="E95" i="10"/>
  <c r="D95" i="10"/>
  <c r="C95" i="10"/>
  <c r="B95" i="10"/>
  <c r="S94" i="10"/>
  <c r="R94" i="10"/>
  <c r="Q94" i="10"/>
  <c r="P94" i="10"/>
  <c r="O94" i="10"/>
  <c r="N94" i="10"/>
  <c r="M94" i="10"/>
  <c r="L94" i="10"/>
  <c r="I94" i="10"/>
  <c r="H94" i="10"/>
  <c r="G94" i="10"/>
  <c r="F94" i="10"/>
  <c r="E94" i="10"/>
  <c r="D94" i="10"/>
  <c r="C94" i="10"/>
  <c r="B94" i="10"/>
  <c r="S93" i="10"/>
  <c r="R93" i="10"/>
  <c r="Q93" i="10"/>
  <c r="P93" i="10"/>
  <c r="O93" i="10"/>
  <c r="N93" i="10"/>
  <c r="M93" i="10"/>
  <c r="L93" i="10"/>
  <c r="I93" i="10"/>
  <c r="H93" i="10"/>
  <c r="G93" i="10"/>
  <c r="F93" i="10"/>
  <c r="E93" i="10"/>
  <c r="D93" i="10"/>
  <c r="C93" i="10"/>
  <c r="B93" i="10"/>
  <c r="S92" i="10"/>
  <c r="R92" i="10"/>
  <c r="Q92" i="10"/>
  <c r="P92" i="10"/>
  <c r="O92" i="10"/>
  <c r="N92" i="10"/>
  <c r="M92" i="10"/>
  <c r="L92" i="10"/>
  <c r="I92" i="10"/>
  <c r="H92" i="10"/>
  <c r="G92" i="10"/>
  <c r="F92" i="10"/>
  <c r="E92" i="10"/>
  <c r="D92" i="10"/>
  <c r="C92" i="10"/>
  <c r="B92" i="10"/>
  <c r="S91" i="10"/>
  <c r="R91" i="10"/>
  <c r="Q91" i="10"/>
  <c r="P91" i="10"/>
  <c r="O91" i="10"/>
  <c r="N91" i="10"/>
  <c r="M91" i="10"/>
  <c r="L91" i="10"/>
  <c r="I91" i="10"/>
  <c r="H91" i="10"/>
  <c r="G91" i="10"/>
  <c r="F91" i="10"/>
  <c r="E91" i="10"/>
  <c r="D91" i="10"/>
  <c r="C91" i="10"/>
  <c r="B91" i="10"/>
  <c r="S90" i="10"/>
  <c r="R90" i="10"/>
  <c r="Q90" i="10"/>
  <c r="P90" i="10"/>
  <c r="O90" i="10"/>
  <c r="N90" i="10"/>
  <c r="M90" i="10"/>
  <c r="L90" i="10"/>
  <c r="I90" i="10"/>
  <c r="H90" i="10"/>
  <c r="G90" i="10"/>
  <c r="F90" i="10"/>
  <c r="E90" i="10"/>
  <c r="D90" i="10"/>
  <c r="C90" i="10"/>
  <c r="B90" i="10"/>
  <c r="S89" i="10"/>
  <c r="R89" i="10"/>
  <c r="Q89" i="10"/>
  <c r="P89" i="10"/>
  <c r="O89" i="10"/>
  <c r="N89" i="10"/>
  <c r="M89" i="10"/>
  <c r="L89" i="10"/>
  <c r="I89" i="10"/>
  <c r="H89" i="10"/>
  <c r="G89" i="10"/>
  <c r="F89" i="10"/>
  <c r="E89" i="10"/>
  <c r="D89" i="10"/>
  <c r="C89" i="10"/>
  <c r="B89" i="10"/>
  <c r="S88" i="10"/>
  <c r="R88" i="10"/>
  <c r="Q88" i="10"/>
  <c r="P88" i="10"/>
  <c r="O88" i="10"/>
  <c r="N88" i="10"/>
  <c r="M88" i="10"/>
  <c r="L88" i="10"/>
  <c r="I88" i="10"/>
  <c r="H88" i="10"/>
  <c r="G88" i="10"/>
  <c r="F88" i="10"/>
  <c r="E88" i="10"/>
  <c r="D88" i="10"/>
  <c r="C88" i="10"/>
  <c r="B88" i="10"/>
  <c r="S87" i="10"/>
  <c r="R87" i="10"/>
  <c r="Q87" i="10"/>
  <c r="P87" i="10"/>
  <c r="O87" i="10"/>
  <c r="N87" i="10"/>
  <c r="M87" i="10"/>
  <c r="L87" i="10"/>
  <c r="I87" i="10"/>
  <c r="H87" i="10"/>
  <c r="G87" i="10"/>
  <c r="F87" i="10"/>
  <c r="E87" i="10"/>
  <c r="D87" i="10"/>
  <c r="C87" i="10"/>
  <c r="B87" i="10"/>
  <c r="S86" i="10"/>
  <c r="R86" i="10"/>
  <c r="Q86" i="10"/>
  <c r="P86" i="10"/>
  <c r="O86" i="10"/>
  <c r="N86" i="10"/>
  <c r="M86" i="10"/>
  <c r="L86" i="10"/>
  <c r="I86" i="10"/>
  <c r="H86" i="10"/>
  <c r="G86" i="10"/>
  <c r="F86" i="10"/>
  <c r="E86" i="10"/>
  <c r="D86" i="10"/>
  <c r="C86" i="10"/>
  <c r="B86" i="10"/>
  <c r="S85" i="10"/>
  <c r="R85" i="10"/>
  <c r="Q85" i="10"/>
  <c r="P85" i="10"/>
  <c r="O85" i="10"/>
  <c r="N85" i="10"/>
  <c r="M85" i="10"/>
  <c r="L85" i="10"/>
  <c r="I85" i="10"/>
  <c r="H85" i="10"/>
  <c r="G85" i="10"/>
  <c r="F85" i="10"/>
  <c r="E85" i="10"/>
  <c r="D85" i="10"/>
  <c r="C85" i="10"/>
  <c r="B85" i="10"/>
  <c r="S84" i="10"/>
  <c r="R84" i="10"/>
  <c r="Q84" i="10"/>
  <c r="P84" i="10"/>
  <c r="O84" i="10"/>
  <c r="N84" i="10"/>
  <c r="M84" i="10"/>
  <c r="L84" i="10"/>
  <c r="I84" i="10"/>
  <c r="H84" i="10"/>
  <c r="G84" i="10"/>
  <c r="F84" i="10"/>
  <c r="E84" i="10"/>
  <c r="D84" i="10"/>
  <c r="C84" i="10"/>
  <c r="B84" i="10"/>
  <c r="S83" i="10"/>
  <c r="R83" i="10"/>
  <c r="Q83" i="10"/>
  <c r="P83" i="10"/>
  <c r="O83" i="10"/>
  <c r="N83" i="10"/>
  <c r="M83" i="10"/>
  <c r="L83" i="10"/>
  <c r="I83" i="10"/>
  <c r="H83" i="10"/>
  <c r="G83" i="10"/>
  <c r="F83" i="10"/>
  <c r="E83" i="10"/>
  <c r="D83" i="10"/>
  <c r="C83" i="10"/>
  <c r="B83" i="10"/>
  <c r="S82" i="10"/>
  <c r="R82" i="10"/>
  <c r="Q82" i="10"/>
  <c r="P82" i="10"/>
  <c r="O82" i="10"/>
  <c r="N82" i="10"/>
  <c r="M82" i="10"/>
  <c r="L82" i="10"/>
  <c r="I82" i="10"/>
  <c r="H82" i="10"/>
  <c r="G82" i="10"/>
  <c r="F82" i="10"/>
  <c r="E82" i="10"/>
  <c r="D82" i="10"/>
  <c r="C82" i="10"/>
  <c r="B82" i="10"/>
  <c r="S81" i="10"/>
  <c r="R81" i="10"/>
  <c r="Q81" i="10"/>
  <c r="P81" i="10"/>
  <c r="O81" i="10"/>
  <c r="N81" i="10"/>
  <c r="M81" i="10"/>
  <c r="L81" i="10"/>
  <c r="I81" i="10"/>
  <c r="H81" i="10"/>
  <c r="G81" i="10"/>
  <c r="F81" i="10"/>
  <c r="E81" i="10"/>
  <c r="D81" i="10"/>
  <c r="C81" i="10"/>
  <c r="B81" i="10"/>
  <c r="Z80" i="10"/>
  <c r="AA80" i="10" s="1"/>
  <c r="X80" i="10"/>
  <c r="W80" i="10"/>
  <c r="V80" i="10"/>
  <c r="S80" i="10"/>
  <c r="R80" i="10"/>
  <c r="Q80" i="10"/>
  <c r="P80" i="10"/>
  <c r="O80" i="10"/>
  <c r="N80" i="10"/>
  <c r="M80" i="10"/>
  <c r="L80" i="10"/>
  <c r="I80" i="10"/>
  <c r="H80" i="10"/>
  <c r="G80" i="10"/>
  <c r="F80" i="10"/>
  <c r="E80" i="10"/>
  <c r="D80" i="10"/>
  <c r="C80" i="10"/>
  <c r="B80" i="10"/>
  <c r="V79" i="10"/>
  <c r="W79" i="10" s="1"/>
  <c r="X79" i="10" s="1"/>
  <c r="S79" i="10"/>
  <c r="R79" i="10"/>
  <c r="Q79" i="10"/>
  <c r="P79" i="10"/>
  <c r="O79" i="10"/>
  <c r="N79" i="10"/>
  <c r="M79" i="10"/>
  <c r="L79" i="10"/>
  <c r="I79" i="10"/>
  <c r="H79" i="10"/>
  <c r="G79" i="10"/>
  <c r="F79" i="10"/>
  <c r="E79" i="10"/>
  <c r="D79" i="10"/>
  <c r="C79" i="10"/>
  <c r="B79" i="10"/>
  <c r="AA78" i="10"/>
  <c r="Z78" i="10"/>
  <c r="W78" i="10"/>
  <c r="X78" i="10" s="1"/>
  <c r="V78" i="10"/>
  <c r="S78" i="10"/>
  <c r="R78" i="10"/>
  <c r="Q78" i="10"/>
  <c r="P78" i="10"/>
  <c r="O78" i="10"/>
  <c r="N78" i="10"/>
  <c r="M78" i="10"/>
  <c r="L78" i="10"/>
  <c r="I78" i="10"/>
  <c r="H78" i="10"/>
  <c r="G78" i="10"/>
  <c r="F78" i="10"/>
  <c r="E78" i="10"/>
  <c r="D78" i="10"/>
  <c r="C78" i="10"/>
  <c r="B78" i="10"/>
  <c r="W77" i="10"/>
  <c r="X77" i="10" s="1"/>
  <c r="V77" i="10"/>
  <c r="Z77" i="10" s="1"/>
  <c r="AA77" i="10" s="1"/>
  <c r="S77" i="10"/>
  <c r="R77" i="10"/>
  <c r="Q77" i="10"/>
  <c r="P77" i="10"/>
  <c r="O77" i="10"/>
  <c r="N77" i="10"/>
  <c r="M77" i="10"/>
  <c r="L77" i="10"/>
  <c r="I77" i="10"/>
  <c r="H77" i="10"/>
  <c r="G77" i="10"/>
  <c r="F77" i="10"/>
  <c r="E77" i="10"/>
  <c r="D77" i="10"/>
  <c r="C77" i="10"/>
  <c r="B77" i="10"/>
  <c r="V76" i="10"/>
  <c r="Z76" i="10" s="1"/>
  <c r="AA76" i="10" s="1"/>
  <c r="S76" i="10"/>
  <c r="R76" i="10"/>
  <c r="Q76" i="10"/>
  <c r="P76" i="10"/>
  <c r="O76" i="10"/>
  <c r="N76" i="10"/>
  <c r="M76" i="10"/>
  <c r="L76" i="10"/>
  <c r="I76" i="10"/>
  <c r="H76" i="10"/>
  <c r="G76" i="10"/>
  <c r="F76" i="10"/>
  <c r="E76" i="10"/>
  <c r="D76" i="10"/>
  <c r="C76" i="10"/>
  <c r="B76" i="10"/>
  <c r="Z75" i="10"/>
  <c r="AA75" i="10" s="1"/>
  <c r="X75" i="10"/>
  <c r="W75" i="10"/>
  <c r="V75" i="10"/>
  <c r="S75" i="10"/>
  <c r="R75" i="10"/>
  <c r="Q75" i="10"/>
  <c r="P75" i="10"/>
  <c r="O75" i="10"/>
  <c r="N75" i="10"/>
  <c r="M75" i="10"/>
  <c r="L75" i="10"/>
  <c r="I75" i="10"/>
  <c r="H75" i="10"/>
  <c r="G75" i="10"/>
  <c r="F75" i="10"/>
  <c r="E75" i="10"/>
  <c r="D75" i="10"/>
  <c r="C75" i="10"/>
  <c r="B75" i="10"/>
  <c r="W74" i="10"/>
  <c r="X74" i="10" s="1"/>
  <c r="V74" i="10"/>
  <c r="Z74" i="10" s="1"/>
  <c r="AA74" i="10" s="1"/>
  <c r="S74" i="10"/>
  <c r="R74" i="10"/>
  <c r="Q74" i="10"/>
  <c r="P74" i="10"/>
  <c r="O74" i="10"/>
  <c r="N74" i="10"/>
  <c r="M74" i="10"/>
  <c r="L74" i="10"/>
  <c r="I74" i="10"/>
  <c r="H74" i="10"/>
  <c r="G74" i="10"/>
  <c r="F74" i="10"/>
  <c r="E74" i="10"/>
  <c r="D74" i="10"/>
  <c r="C74" i="10"/>
  <c r="B74" i="10"/>
  <c r="AA73" i="10"/>
  <c r="Z73" i="10"/>
  <c r="W73" i="10"/>
  <c r="X73" i="10" s="1"/>
  <c r="V73" i="10"/>
  <c r="S73" i="10"/>
  <c r="R73" i="10"/>
  <c r="Q73" i="10"/>
  <c r="P73" i="10"/>
  <c r="O73" i="10"/>
  <c r="N73" i="10"/>
  <c r="M73" i="10"/>
  <c r="L73" i="10"/>
  <c r="I73" i="10"/>
  <c r="H73" i="10"/>
  <c r="G73" i="10"/>
  <c r="F73" i="10"/>
  <c r="E73" i="10"/>
  <c r="D73" i="10"/>
  <c r="C73" i="10"/>
  <c r="B73" i="10"/>
  <c r="W72" i="10"/>
  <c r="X72" i="10" s="1"/>
  <c r="V72" i="10"/>
  <c r="Z72" i="10" s="1"/>
  <c r="AA72" i="10" s="1"/>
  <c r="S72" i="10"/>
  <c r="R72" i="10"/>
  <c r="Q72" i="10"/>
  <c r="P72" i="10"/>
  <c r="O72" i="10"/>
  <c r="N72" i="10"/>
  <c r="M72" i="10"/>
  <c r="L72" i="10"/>
  <c r="I72" i="10"/>
  <c r="H72" i="10"/>
  <c r="G72" i="10"/>
  <c r="F72" i="10"/>
  <c r="E72" i="10"/>
  <c r="D72" i="10"/>
  <c r="C72" i="10"/>
  <c r="B72" i="10"/>
  <c r="V71" i="10"/>
  <c r="W71" i="10" s="1"/>
  <c r="X71" i="10" s="1"/>
  <c r="S71" i="10"/>
  <c r="R71" i="10"/>
  <c r="Q71" i="10"/>
  <c r="P71" i="10"/>
  <c r="O71" i="10"/>
  <c r="N71" i="10"/>
  <c r="M71" i="10"/>
  <c r="L71" i="10"/>
  <c r="I71" i="10"/>
  <c r="H71" i="10"/>
  <c r="G71" i="10"/>
  <c r="F71" i="10"/>
  <c r="E71" i="10"/>
  <c r="D71" i="10"/>
  <c r="C71" i="10"/>
  <c r="B71" i="10"/>
  <c r="Z70" i="10"/>
  <c r="AA70" i="10" s="1"/>
  <c r="V70" i="10"/>
  <c r="W70" i="10" s="1"/>
  <c r="X70" i="10" s="1"/>
  <c r="S70" i="10"/>
  <c r="R70" i="10"/>
  <c r="Q70" i="10"/>
  <c r="P70" i="10"/>
  <c r="O70" i="10"/>
  <c r="N70" i="10"/>
  <c r="M70" i="10"/>
  <c r="L70" i="10"/>
  <c r="I70" i="10"/>
  <c r="H70" i="10"/>
  <c r="G70" i="10"/>
  <c r="F70" i="10"/>
  <c r="E70" i="10"/>
  <c r="D70" i="10"/>
  <c r="C70" i="10"/>
  <c r="B70" i="10"/>
  <c r="W69" i="10"/>
  <c r="X69" i="10" s="1"/>
  <c r="V69" i="10"/>
  <c r="Z69" i="10" s="1"/>
  <c r="AA69" i="10" s="1"/>
  <c r="S69" i="10"/>
  <c r="R69" i="10"/>
  <c r="Q69" i="10"/>
  <c r="P69" i="10"/>
  <c r="O69" i="10"/>
  <c r="N69" i="10"/>
  <c r="M69" i="10"/>
  <c r="L69" i="10"/>
  <c r="I69" i="10"/>
  <c r="H69" i="10"/>
  <c r="G69" i="10"/>
  <c r="F69" i="10"/>
  <c r="E69" i="10"/>
  <c r="D69" i="10"/>
  <c r="C69" i="10"/>
  <c r="B69" i="10"/>
  <c r="V68" i="10"/>
  <c r="Z68" i="10" s="1"/>
  <c r="AA68" i="10" s="1"/>
  <c r="S68" i="10"/>
  <c r="R68" i="10"/>
  <c r="Q68" i="10"/>
  <c r="P68" i="10"/>
  <c r="O68" i="10"/>
  <c r="N68" i="10"/>
  <c r="M68" i="10"/>
  <c r="L68" i="10"/>
  <c r="I68" i="10"/>
  <c r="H68" i="10"/>
  <c r="G68" i="10"/>
  <c r="F68" i="10"/>
  <c r="E68" i="10"/>
  <c r="D68" i="10"/>
  <c r="C68" i="10"/>
  <c r="B68" i="10"/>
  <c r="Z67" i="10"/>
  <c r="AA67" i="10" s="1"/>
  <c r="V67" i="10"/>
  <c r="W67" i="10" s="1"/>
  <c r="X67" i="10" s="1"/>
  <c r="S67" i="10"/>
  <c r="R67" i="10"/>
  <c r="Q67" i="10"/>
  <c r="P67" i="10"/>
  <c r="O67" i="10"/>
  <c r="N67" i="10"/>
  <c r="M67" i="10"/>
  <c r="L67" i="10"/>
  <c r="I67" i="10"/>
  <c r="H67" i="10"/>
  <c r="G67" i="10"/>
  <c r="F67" i="10"/>
  <c r="E67" i="10"/>
  <c r="D67" i="10"/>
  <c r="C67" i="10"/>
  <c r="B67" i="10"/>
  <c r="W66" i="10"/>
  <c r="X66" i="10" s="1"/>
  <c r="V66" i="10"/>
  <c r="Z66" i="10" s="1"/>
  <c r="AA66" i="10" s="1"/>
  <c r="S66" i="10"/>
  <c r="R66" i="10"/>
  <c r="Q66" i="10"/>
  <c r="P66" i="10"/>
  <c r="O66" i="10"/>
  <c r="N66" i="10"/>
  <c r="M66" i="10"/>
  <c r="L66" i="10"/>
  <c r="I66" i="10"/>
  <c r="H66" i="10"/>
  <c r="G66" i="10"/>
  <c r="F66" i="10"/>
  <c r="E66" i="10"/>
  <c r="D66" i="10"/>
  <c r="C66" i="10"/>
  <c r="B66" i="10"/>
  <c r="AA65" i="10"/>
  <c r="Z65" i="10"/>
  <c r="W65" i="10"/>
  <c r="X65" i="10" s="1"/>
  <c r="V65" i="10"/>
  <c r="S65" i="10"/>
  <c r="R65" i="10"/>
  <c r="Q65" i="10"/>
  <c r="P65" i="10"/>
  <c r="O65" i="10"/>
  <c r="N65" i="10"/>
  <c r="M65" i="10"/>
  <c r="L65" i="10"/>
  <c r="I65" i="10"/>
  <c r="H65" i="10"/>
  <c r="G65" i="10"/>
  <c r="F65" i="10"/>
  <c r="E65" i="10"/>
  <c r="D65" i="10"/>
  <c r="C65" i="10"/>
  <c r="B65" i="10"/>
  <c r="W64" i="10"/>
  <c r="X64" i="10" s="1"/>
  <c r="V64" i="10"/>
  <c r="Z64" i="10" s="1"/>
  <c r="AA64" i="10" s="1"/>
  <c r="S64" i="10"/>
  <c r="R64" i="10"/>
  <c r="Q64" i="10"/>
  <c r="P64" i="10"/>
  <c r="O64" i="10"/>
  <c r="N64" i="10"/>
  <c r="M64" i="10"/>
  <c r="L64" i="10"/>
  <c r="I64" i="10"/>
  <c r="H64" i="10"/>
  <c r="G64" i="10"/>
  <c r="F64" i="10"/>
  <c r="E64" i="10"/>
  <c r="D64" i="10"/>
  <c r="C64" i="10"/>
  <c r="B64" i="10"/>
  <c r="V63" i="10"/>
  <c r="W63" i="10" s="1"/>
  <c r="X63" i="10" s="1"/>
  <c r="S63" i="10"/>
  <c r="R63" i="10"/>
  <c r="Q63" i="10"/>
  <c r="P63" i="10"/>
  <c r="O63" i="10"/>
  <c r="N63" i="10"/>
  <c r="M63" i="10"/>
  <c r="L63" i="10"/>
  <c r="I63" i="10"/>
  <c r="H63" i="10"/>
  <c r="G63" i="10"/>
  <c r="F63" i="10"/>
  <c r="E63" i="10"/>
  <c r="D63" i="10"/>
  <c r="C63" i="10"/>
  <c r="B63" i="10"/>
  <c r="AA62" i="10"/>
  <c r="Z62" i="10"/>
  <c r="V62" i="10"/>
  <c r="W62" i="10" s="1"/>
  <c r="X62" i="10" s="1"/>
  <c r="S62" i="10"/>
  <c r="R62" i="10"/>
  <c r="Q62" i="10"/>
  <c r="P62" i="10"/>
  <c r="O62" i="10"/>
  <c r="N62" i="10"/>
  <c r="M62" i="10"/>
  <c r="L62" i="10"/>
  <c r="I62" i="10"/>
  <c r="H62" i="10"/>
  <c r="G62" i="10"/>
  <c r="F62" i="10"/>
  <c r="E62" i="10"/>
  <c r="D62" i="10"/>
  <c r="C62" i="10"/>
  <c r="B62" i="10"/>
  <c r="W61" i="10"/>
  <c r="X61" i="10" s="1"/>
  <c r="V61" i="10"/>
  <c r="Z61" i="10" s="1"/>
  <c r="AA61" i="10" s="1"/>
  <c r="S61" i="10"/>
  <c r="R61" i="10"/>
  <c r="Q61" i="10"/>
  <c r="P61" i="10"/>
  <c r="O61" i="10"/>
  <c r="N61" i="10"/>
  <c r="M61" i="10"/>
  <c r="L61" i="10"/>
  <c r="I61" i="10"/>
  <c r="H61" i="10"/>
  <c r="G61" i="10"/>
  <c r="F61" i="10"/>
  <c r="E61" i="10"/>
  <c r="D61" i="10"/>
  <c r="C61" i="10"/>
  <c r="B61" i="10"/>
  <c r="V60" i="10"/>
  <c r="Z60" i="10" s="1"/>
  <c r="AA60" i="10" s="1"/>
  <c r="S60" i="10"/>
  <c r="R60" i="10"/>
  <c r="Q60" i="10"/>
  <c r="P60" i="10"/>
  <c r="O60" i="10"/>
  <c r="N60" i="10"/>
  <c r="M60" i="10"/>
  <c r="L60" i="10"/>
  <c r="I60" i="10"/>
  <c r="H60" i="10"/>
  <c r="G60" i="10"/>
  <c r="F60" i="10"/>
  <c r="E60" i="10"/>
  <c r="D60" i="10"/>
  <c r="C60" i="10"/>
  <c r="B60" i="10"/>
  <c r="AA59" i="10"/>
  <c r="Z59" i="10"/>
  <c r="V59" i="10"/>
  <c r="W59" i="10" s="1"/>
  <c r="X59" i="10" s="1"/>
  <c r="S59" i="10"/>
  <c r="R59" i="10"/>
  <c r="Q59" i="10"/>
  <c r="P59" i="10"/>
  <c r="O59" i="10"/>
  <c r="N59" i="10"/>
  <c r="M59" i="10"/>
  <c r="L59" i="10"/>
  <c r="I59" i="10"/>
  <c r="H59" i="10"/>
  <c r="G59" i="10"/>
  <c r="F59" i="10"/>
  <c r="E59" i="10"/>
  <c r="D59" i="10"/>
  <c r="C59" i="10"/>
  <c r="B59" i="10"/>
  <c r="W58" i="10"/>
  <c r="X58" i="10" s="1"/>
  <c r="V58" i="10"/>
  <c r="Z58" i="10" s="1"/>
  <c r="AA58" i="10" s="1"/>
  <c r="S58" i="10"/>
  <c r="R58" i="10"/>
  <c r="Q58" i="10"/>
  <c r="P58" i="10"/>
  <c r="O58" i="10"/>
  <c r="N58" i="10"/>
  <c r="M58" i="10"/>
  <c r="L58" i="10"/>
  <c r="I58" i="10"/>
  <c r="H58" i="10"/>
  <c r="G58" i="10"/>
  <c r="F58" i="10"/>
  <c r="E58" i="10"/>
  <c r="D58" i="10"/>
  <c r="C58" i="10"/>
  <c r="B58" i="10"/>
  <c r="AA57" i="10"/>
  <c r="Z57" i="10"/>
  <c r="W57" i="10"/>
  <c r="X57" i="10" s="1"/>
  <c r="V57" i="10"/>
  <c r="S57" i="10"/>
  <c r="R57" i="10"/>
  <c r="Q57" i="10"/>
  <c r="P57" i="10"/>
  <c r="O57" i="10"/>
  <c r="N57" i="10"/>
  <c r="M57" i="10"/>
  <c r="L57" i="10"/>
  <c r="I57" i="10"/>
  <c r="H57" i="10"/>
  <c r="G57" i="10"/>
  <c r="F57" i="10"/>
  <c r="E57" i="10"/>
  <c r="D57" i="10"/>
  <c r="C57" i="10"/>
  <c r="B57" i="10"/>
  <c r="W56" i="10"/>
  <c r="X56" i="10" s="1"/>
  <c r="V56" i="10"/>
  <c r="Z56" i="10" s="1"/>
  <c r="AA56" i="10" s="1"/>
  <c r="S56" i="10"/>
  <c r="R56" i="10"/>
  <c r="Q56" i="10"/>
  <c r="P56" i="10"/>
  <c r="O56" i="10"/>
  <c r="N56" i="10"/>
  <c r="M56" i="10"/>
  <c r="L56" i="10"/>
  <c r="I56" i="10"/>
  <c r="H56" i="10"/>
  <c r="G56" i="10"/>
  <c r="F56" i="10"/>
  <c r="E56" i="10"/>
  <c r="D56" i="10"/>
  <c r="C56" i="10"/>
  <c r="B56" i="10"/>
  <c r="V55" i="10"/>
  <c r="W55" i="10" s="1"/>
  <c r="X55" i="10" s="1"/>
  <c r="S55" i="10"/>
  <c r="R55" i="10"/>
  <c r="Q55" i="10"/>
  <c r="P55" i="10"/>
  <c r="O55" i="10"/>
  <c r="N55" i="10"/>
  <c r="M55" i="10"/>
  <c r="L55" i="10"/>
  <c r="I55" i="10"/>
  <c r="H55" i="10"/>
  <c r="G55" i="10"/>
  <c r="F55" i="10"/>
  <c r="E55" i="10"/>
  <c r="D55" i="10"/>
  <c r="C55" i="10"/>
  <c r="B55" i="10"/>
  <c r="AA54" i="10"/>
  <c r="Z54" i="10"/>
  <c r="V54" i="10"/>
  <c r="W54" i="10" s="1"/>
  <c r="X54" i="10" s="1"/>
  <c r="S54" i="10"/>
  <c r="R54" i="10"/>
  <c r="Q54" i="10"/>
  <c r="P54" i="10"/>
  <c r="O54" i="10"/>
  <c r="N54" i="10"/>
  <c r="M54" i="10"/>
  <c r="L54" i="10"/>
  <c r="I54" i="10"/>
  <c r="H54" i="10"/>
  <c r="G54" i="10"/>
  <c r="F54" i="10"/>
  <c r="E54" i="10"/>
  <c r="D54" i="10"/>
  <c r="C54" i="10"/>
  <c r="B54" i="10"/>
  <c r="W53" i="10"/>
  <c r="X53" i="10" s="1"/>
  <c r="V53" i="10"/>
  <c r="Z53" i="10" s="1"/>
  <c r="AA53" i="10" s="1"/>
  <c r="S53" i="10"/>
  <c r="R53" i="10"/>
  <c r="Q53" i="10"/>
  <c r="P53" i="10"/>
  <c r="O53" i="10"/>
  <c r="N53" i="10"/>
  <c r="M53" i="10"/>
  <c r="L53" i="10"/>
  <c r="I53" i="10"/>
  <c r="H53" i="10"/>
  <c r="G53" i="10"/>
  <c r="F53" i="10"/>
  <c r="E53" i="10"/>
  <c r="D53" i="10"/>
  <c r="C53" i="10"/>
  <c r="B53" i="10"/>
  <c r="V52" i="10"/>
  <c r="Z52" i="10" s="1"/>
  <c r="AA52" i="10" s="1"/>
  <c r="S52" i="10"/>
  <c r="R52" i="10"/>
  <c r="Q52" i="10"/>
  <c r="P52" i="10"/>
  <c r="O52" i="10"/>
  <c r="N52" i="10"/>
  <c r="M52" i="10"/>
  <c r="L52" i="10"/>
  <c r="I52" i="10"/>
  <c r="H52" i="10"/>
  <c r="G52" i="10"/>
  <c r="F52" i="10"/>
  <c r="E52" i="10"/>
  <c r="D52" i="10"/>
  <c r="C52" i="10"/>
  <c r="B52" i="10"/>
  <c r="AA51" i="10"/>
  <c r="Z51" i="10"/>
  <c r="V51" i="10"/>
  <c r="W51" i="10" s="1"/>
  <c r="X51" i="10" s="1"/>
  <c r="S51" i="10"/>
  <c r="R51" i="10"/>
  <c r="Q51" i="10"/>
  <c r="P51" i="10"/>
  <c r="O51" i="10"/>
  <c r="N51" i="10"/>
  <c r="M51" i="10"/>
  <c r="L51" i="10"/>
  <c r="I51" i="10"/>
  <c r="H51" i="10"/>
  <c r="G51" i="10"/>
  <c r="F51" i="10"/>
  <c r="E51" i="10"/>
  <c r="D51" i="10"/>
  <c r="C51" i="10"/>
  <c r="B51" i="10"/>
  <c r="W50" i="10"/>
  <c r="X50" i="10" s="1"/>
  <c r="V50" i="10"/>
  <c r="Z50" i="10" s="1"/>
  <c r="AA50" i="10" s="1"/>
  <c r="S50" i="10"/>
  <c r="R50" i="10"/>
  <c r="Q50" i="10"/>
  <c r="P50" i="10"/>
  <c r="O50" i="10"/>
  <c r="N50" i="10"/>
  <c r="M50" i="10"/>
  <c r="L50" i="10"/>
  <c r="I50" i="10"/>
  <c r="H50" i="10"/>
  <c r="G50" i="10"/>
  <c r="F50" i="10"/>
  <c r="E50" i="10"/>
  <c r="D50" i="10"/>
  <c r="C50" i="10"/>
  <c r="B50" i="10"/>
  <c r="AA49" i="10"/>
  <c r="Z49" i="10"/>
  <c r="W49" i="10"/>
  <c r="X49" i="10" s="1"/>
  <c r="V49" i="10"/>
  <c r="S49" i="10"/>
  <c r="R49" i="10"/>
  <c r="Q49" i="10"/>
  <c r="P49" i="10"/>
  <c r="O49" i="10"/>
  <c r="N49" i="10"/>
  <c r="M49" i="10"/>
  <c r="L49" i="10"/>
  <c r="I49" i="10"/>
  <c r="H49" i="10"/>
  <c r="G49" i="10"/>
  <c r="F49" i="10"/>
  <c r="E49" i="10"/>
  <c r="D49" i="10"/>
  <c r="C49" i="10"/>
  <c r="B49" i="10"/>
  <c r="W48" i="10"/>
  <c r="X48" i="10" s="1"/>
  <c r="V48" i="10"/>
  <c r="Z48" i="10" s="1"/>
  <c r="AA48" i="10" s="1"/>
  <c r="S48" i="10"/>
  <c r="R48" i="10"/>
  <c r="Q48" i="10"/>
  <c r="P48" i="10"/>
  <c r="O48" i="10"/>
  <c r="N48" i="10"/>
  <c r="M48" i="10"/>
  <c r="L48" i="10"/>
  <c r="I48" i="10"/>
  <c r="H48" i="10"/>
  <c r="G48" i="10"/>
  <c r="F48" i="10"/>
  <c r="E48" i="10"/>
  <c r="D48" i="10"/>
  <c r="C48" i="10"/>
  <c r="B48" i="10"/>
  <c r="V47" i="10"/>
  <c r="Z47" i="10" s="1"/>
  <c r="AA47" i="10" s="1"/>
  <c r="S47" i="10"/>
  <c r="R47" i="10"/>
  <c r="Q47" i="10"/>
  <c r="P47" i="10"/>
  <c r="O47" i="10"/>
  <c r="N47" i="10"/>
  <c r="M47" i="10"/>
  <c r="L47" i="10"/>
  <c r="I47" i="10"/>
  <c r="H47" i="10"/>
  <c r="G47" i="10"/>
  <c r="F47" i="10"/>
  <c r="E47" i="10"/>
  <c r="D47" i="10"/>
  <c r="C47" i="10"/>
  <c r="B47" i="10"/>
  <c r="AA46" i="10"/>
  <c r="Z46" i="10"/>
  <c r="V46" i="10"/>
  <c r="W46" i="10" s="1"/>
  <c r="X46" i="10" s="1"/>
  <c r="S46" i="10"/>
  <c r="R46" i="10"/>
  <c r="Q46" i="10"/>
  <c r="P46" i="10"/>
  <c r="O46" i="10"/>
  <c r="N46" i="10"/>
  <c r="M46" i="10"/>
  <c r="L46" i="10"/>
  <c r="I46" i="10"/>
  <c r="H46" i="10"/>
  <c r="G46" i="10"/>
  <c r="F46" i="10"/>
  <c r="E46" i="10"/>
  <c r="D46" i="10"/>
  <c r="C46" i="10"/>
  <c r="B46" i="10"/>
  <c r="W45" i="10"/>
  <c r="X45" i="10" s="1"/>
  <c r="V45" i="10"/>
  <c r="Z45" i="10" s="1"/>
  <c r="AA45" i="10" s="1"/>
  <c r="S45" i="10"/>
  <c r="R45" i="10"/>
  <c r="Q45" i="10"/>
  <c r="P45" i="10"/>
  <c r="O45" i="10"/>
  <c r="N45" i="10"/>
  <c r="M45" i="10"/>
  <c r="L45" i="10"/>
  <c r="I45" i="10"/>
  <c r="H45" i="10"/>
  <c r="G45" i="10"/>
  <c r="F45" i="10"/>
  <c r="E45" i="10"/>
  <c r="D45" i="10"/>
  <c r="C45" i="10"/>
  <c r="B45" i="10"/>
  <c r="V44" i="10"/>
  <c r="Z44" i="10" s="1"/>
  <c r="AA44" i="10" s="1"/>
  <c r="S44" i="10"/>
  <c r="R44" i="10"/>
  <c r="Q44" i="10"/>
  <c r="P44" i="10"/>
  <c r="O44" i="10"/>
  <c r="N44" i="10"/>
  <c r="M44" i="10"/>
  <c r="L44" i="10"/>
  <c r="I44" i="10"/>
  <c r="H44" i="10"/>
  <c r="G44" i="10"/>
  <c r="F44" i="10"/>
  <c r="E44" i="10"/>
  <c r="D44" i="10"/>
  <c r="C44" i="10"/>
  <c r="B44" i="10"/>
  <c r="AA43" i="10"/>
  <c r="Z43" i="10"/>
  <c r="X43" i="10"/>
  <c r="W43" i="10"/>
  <c r="V43" i="10"/>
  <c r="S43" i="10"/>
  <c r="R43" i="10"/>
  <c r="Q43" i="10"/>
  <c r="P43" i="10"/>
  <c r="O43" i="10"/>
  <c r="N43" i="10"/>
  <c r="M43" i="10"/>
  <c r="L43" i="10"/>
  <c r="I43" i="10"/>
  <c r="H43" i="10"/>
  <c r="G43" i="10"/>
  <c r="F43" i="10"/>
  <c r="E43" i="10"/>
  <c r="D43" i="10"/>
  <c r="C43" i="10"/>
  <c r="B43" i="10"/>
  <c r="W42" i="10"/>
  <c r="X42" i="10" s="1"/>
  <c r="V42" i="10"/>
  <c r="Z42" i="10" s="1"/>
  <c r="AA42" i="10" s="1"/>
  <c r="S42" i="10"/>
  <c r="R42" i="10"/>
  <c r="Q42" i="10"/>
  <c r="P42" i="10"/>
  <c r="O42" i="10"/>
  <c r="N42" i="10"/>
  <c r="M42" i="10"/>
  <c r="L42" i="10"/>
  <c r="I42" i="10"/>
  <c r="H42" i="10"/>
  <c r="G42" i="10"/>
  <c r="F42" i="10"/>
  <c r="E42" i="10"/>
  <c r="D42" i="10"/>
  <c r="C42" i="10"/>
  <c r="B42" i="10"/>
  <c r="AA41" i="10"/>
  <c r="Z41" i="10"/>
  <c r="W41" i="10"/>
  <c r="X41" i="10" s="1"/>
  <c r="V41" i="10"/>
  <c r="S41" i="10"/>
  <c r="R41" i="10"/>
  <c r="Q41" i="10"/>
  <c r="P41" i="10"/>
  <c r="O41" i="10"/>
  <c r="N41" i="10"/>
  <c r="M41" i="10"/>
  <c r="L41" i="10"/>
  <c r="I41" i="10"/>
  <c r="H41" i="10"/>
  <c r="G41" i="10"/>
  <c r="F41" i="10"/>
  <c r="E41" i="10"/>
  <c r="D41" i="10"/>
  <c r="C41" i="10"/>
  <c r="B41" i="10"/>
  <c r="W40" i="10"/>
  <c r="X40" i="10" s="1"/>
  <c r="V40" i="10"/>
  <c r="Z40" i="10" s="1"/>
  <c r="AA40" i="10" s="1"/>
  <c r="S40" i="10"/>
  <c r="R40" i="10"/>
  <c r="Q40" i="10"/>
  <c r="P40" i="10"/>
  <c r="O40" i="10"/>
  <c r="N40" i="10"/>
  <c r="M40" i="10"/>
  <c r="L40" i="10"/>
  <c r="I40" i="10"/>
  <c r="H40" i="10"/>
  <c r="G40" i="10"/>
  <c r="F40" i="10"/>
  <c r="E40" i="10"/>
  <c r="D40" i="10"/>
  <c r="C40" i="10"/>
  <c r="B40" i="10"/>
  <c r="V39" i="10"/>
  <c r="W39" i="10" s="1"/>
  <c r="X39" i="10" s="1"/>
  <c r="S39" i="10"/>
  <c r="R39" i="10"/>
  <c r="Q39" i="10"/>
  <c r="P39" i="10"/>
  <c r="O39" i="10"/>
  <c r="N39" i="10"/>
  <c r="M39" i="10"/>
  <c r="L39" i="10"/>
  <c r="I39" i="10"/>
  <c r="H39" i="10"/>
  <c r="G39" i="10"/>
  <c r="F39" i="10"/>
  <c r="E39" i="10"/>
  <c r="D39" i="10"/>
  <c r="C39" i="10"/>
  <c r="B39" i="10"/>
  <c r="AA38" i="10"/>
  <c r="Z38" i="10"/>
  <c r="V38" i="10"/>
  <c r="W38" i="10" s="1"/>
  <c r="X38" i="10" s="1"/>
  <c r="S38" i="10"/>
  <c r="R38" i="10"/>
  <c r="Q38" i="10"/>
  <c r="P38" i="10"/>
  <c r="O38" i="10"/>
  <c r="N38" i="10"/>
  <c r="M38" i="10"/>
  <c r="L38" i="10"/>
  <c r="I38" i="10"/>
  <c r="H38" i="10"/>
  <c r="G38" i="10"/>
  <c r="F38" i="10"/>
  <c r="E38" i="10"/>
  <c r="D38" i="10"/>
  <c r="C38" i="10"/>
  <c r="B38" i="10"/>
  <c r="W37" i="10"/>
  <c r="X37" i="10" s="1"/>
  <c r="V37" i="10"/>
  <c r="Z37" i="10" s="1"/>
  <c r="AA37" i="10" s="1"/>
  <c r="S37" i="10"/>
  <c r="R37" i="10"/>
  <c r="Q37" i="10"/>
  <c r="P37" i="10"/>
  <c r="O37" i="10"/>
  <c r="N37" i="10"/>
  <c r="M37" i="10"/>
  <c r="L37" i="10"/>
  <c r="I37" i="10"/>
  <c r="H37" i="10"/>
  <c r="G37" i="10"/>
  <c r="F37" i="10"/>
  <c r="E37" i="10"/>
  <c r="D37" i="10"/>
  <c r="C37" i="10"/>
  <c r="B37" i="10"/>
  <c r="V36" i="10"/>
  <c r="Z36" i="10" s="1"/>
  <c r="AA36" i="10" s="1"/>
  <c r="S36" i="10"/>
  <c r="R36" i="10"/>
  <c r="Q36" i="10"/>
  <c r="P36" i="10"/>
  <c r="O36" i="10"/>
  <c r="N36" i="10"/>
  <c r="M36" i="10"/>
  <c r="L36" i="10"/>
  <c r="I36" i="10"/>
  <c r="H36" i="10"/>
  <c r="G36" i="10"/>
  <c r="F36" i="10"/>
  <c r="E36" i="10"/>
  <c r="D36" i="10"/>
  <c r="C36" i="10"/>
  <c r="B36" i="10"/>
  <c r="AA35" i="10"/>
  <c r="Z35" i="10"/>
  <c r="V35" i="10"/>
  <c r="W35" i="10" s="1"/>
  <c r="X35" i="10" s="1"/>
  <c r="S35" i="10"/>
  <c r="R35" i="10"/>
  <c r="Q35" i="10"/>
  <c r="P35" i="10"/>
  <c r="O35" i="10"/>
  <c r="N35" i="10"/>
  <c r="M35" i="10"/>
  <c r="L35" i="10"/>
  <c r="I35" i="10"/>
  <c r="H35" i="10"/>
  <c r="G35" i="10"/>
  <c r="F35" i="10"/>
  <c r="E35" i="10"/>
  <c r="D35" i="10"/>
  <c r="C35" i="10"/>
  <c r="B35" i="10"/>
  <c r="W34" i="10"/>
  <c r="X34" i="10" s="1"/>
  <c r="V34" i="10"/>
  <c r="Z34" i="10" s="1"/>
  <c r="AA34" i="10" s="1"/>
  <c r="S34" i="10"/>
  <c r="R34" i="10"/>
  <c r="Q34" i="10"/>
  <c r="P34" i="10"/>
  <c r="O34" i="10"/>
  <c r="N34" i="10"/>
  <c r="M34" i="10"/>
  <c r="L34" i="10"/>
  <c r="I34" i="10"/>
  <c r="H34" i="10"/>
  <c r="G34" i="10"/>
  <c r="F34" i="10"/>
  <c r="E34" i="10"/>
  <c r="D34" i="10"/>
  <c r="C34" i="10"/>
  <c r="B34" i="10"/>
  <c r="AA33" i="10"/>
  <c r="Z33" i="10"/>
  <c r="W33" i="10"/>
  <c r="X33" i="10" s="1"/>
  <c r="V33" i="10"/>
  <c r="S33" i="10"/>
  <c r="R33" i="10"/>
  <c r="Q33" i="10"/>
  <c r="P33" i="10"/>
  <c r="O33" i="10"/>
  <c r="N33" i="10"/>
  <c r="M33" i="10"/>
  <c r="L33" i="10"/>
  <c r="I33" i="10"/>
  <c r="H33" i="10"/>
  <c r="G33" i="10"/>
  <c r="F33" i="10"/>
  <c r="E33" i="10"/>
  <c r="D33" i="10"/>
  <c r="C33" i="10"/>
  <c r="B33" i="10"/>
  <c r="W32" i="10"/>
  <c r="X32" i="10" s="1"/>
  <c r="V32" i="10"/>
  <c r="Z32" i="10" s="1"/>
  <c r="AA32" i="10" s="1"/>
  <c r="S32" i="10"/>
  <c r="R32" i="10"/>
  <c r="Q32" i="10"/>
  <c r="P32" i="10"/>
  <c r="O32" i="10"/>
  <c r="N32" i="10"/>
  <c r="M32" i="10"/>
  <c r="L32" i="10"/>
  <c r="I32" i="10"/>
  <c r="H32" i="10"/>
  <c r="G32" i="10"/>
  <c r="F32" i="10"/>
  <c r="E32" i="10"/>
  <c r="D32" i="10"/>
  <c r="C32" i="10"/>
  <c r="B32" i="10"/>
  <c r="V31" i="10"/>
  <c r="Z31" i="10" s="1"/>
  <c r="AA31" i="10" s="1"/>
  <c r="S31" i="10"/>
  <c r="R31" i="10"/>
  <c r="Q31" i="10"/>
  <c r="P31" i="10"/>
  <c r="O31" i="10"/>
  <c r="N31" i="10"/>
  <c r="M31" i="10"/>
  <c r="L31" i="10"/>
  <c r="I31" i="10"/>
  <c r="H31" i="10"/>
  <c r="G31" i="10"/>
  <c r="F31" i="10"/>
  <c r="E31" i="10"/>
  <c r="D31" i="10"/>
  <c r="C31" i="10"/>
  <c r="B31" i="10"/>
  <c r="AA30" i="10"/>
  <c r="Z30" i="10"/>
  <c r="V30" i="10"/>
  <c r="W30" i="10" s="1"/>
  <c r="X30" i="10" s="1"/>
  <c r="S30" i="10"/>
  <c r="R30" i="10"/>
  <c r="Q30" i="10"/>
  <c r="P30" i="10"/>
  <c r="O30" i="10"/>
  <c r="N30" i="10"/>
  <c r="M30" i="10"/>
  <c r="L30" i="10"/>
  <c r="I30" i="10"/>
  <c r="H30" i="10"/>
  <c r="G30" i="10"/>
  <c r="F30" i="10"/>
  <c r="E30" i="10"/>
  <c r="D30" i="10"/>
  <c r="C30" i="10"/>
  <c r="B30" i="10"/>
  <c r="W29" i="10"/>
  <c r="X29" i="10" s="1"/>
  <c r="V29" i="10"/>
  <c r="Z29" i="10" s="1"/>
  <c r="AA29" i="10" s="1"/>
  <c r="S29" i="10"/>
  <c r="R29" i="10"/>
  <c r="Q29" i="10"/>
  <c r="P29" i="10"/>
  <c r="O29" i="10"/>
  <c r="N29" i="10"/>
  <c r="M29" i="10"/>
  <c r="L29" i="10"/>
  <c r="I29" i="10"/>
  <c r="H29" i="10"/>
  <c r="G29" i="10"/>
  <c r="F29" i="10"/>
  <c r="E29" i="10"/>
  <c r="D29" i="10"/>
  <c r="C29" i="10"/>
  <c r="B29" i="10"/>
  <c r="V28" i="10"/>
  <c r="Z28" i="10" s="1"/>
  <c r="AA28" i="10" s="1"/>
  <c r="S28" i="10"/>
  <c r="R28" i="10"/>
  <c r="Q28" i="10"/>
  <c r="P28" i="10"/>
  <c r="O28" i="10"/>
  <c r="N28" i="10"/>
  <c r="M28" i="10"/>
  <c r="L28" i="10"/>
  <c r="I28" i="10"/>
  <c r="H28" i="10"/>
  <c r="G28" i="10"/>
  <c r="F28" i="10"/>
  <c r="E28" i="10"/>
  <c r="D28" i="10"/>
  <c r="C28" i="10"/>
  <c r="B28" i="10"/>
  <c r="AA27" i="10"/>
  <c r="Z27" i="10"/>
  <c r="V27" i="10"/>
  <c r="W27" i="10" s="1"/>
  <c r="X27" i="10" s="1"/>
  <c r="S27" i="10"/>
  <c r="R27" i="10"/>
  <c r="Q27" i="10"/>
  <c r="P27" i="10"/>
  <c r="O27" i="10"/>
  <c r="N27" i="10"/>
  <c r="M27" i="10"/>
  <c r="L27" i="10"/>
  <c r="I27" i="10"/>
  <c r="H27" i="10"/>
  <c r="G27" i="10"/>
  <c r="F27" i="10"/>
  <c r="E27" i="10"/>
  <c r="D27" i="10"/>
  <c r="C27" i="10"/>
  <c r="B27" i="10"/>
  <c r="W26" i="10"/>
  <c r="X26" i="10" s="1"/>
  <c r="V26" i="10"/>
  <c r="Z26" i="10" s="1"/>
  <c r="AA26" i="10" s="1"/>
  <c r="S26" i="10"/>
  <c r="R26" i="10"/>
  <c r="Q26" i="10"/>
  <c r="P26" i="10"/>
  <c r="O26" i="10"/>
  <c r="N26" i="10"/>
  <c r="M26" i="10"/>
  <c r="L26" i="10"/>
  <c r="I26" i="10"/>
  <c r="H26" i="10"/>
  <c r="G26" i="10"/>
  <c r="F26" i="10"/>
  <c r="E26" i="10"/>
  <c r="D26" i="10"/>
  <c r="C26" i="10"/>
  <c r="B26" i="10"/>
  <c r="AA25" i="10"/>
  <c r="Z25" i="10"/>
  <c r="W25" i="10"/>
  <c r="X25" i="10" s="1"/>
  <c r="V25" i="10"/>
  <c r="S25" i="10"/>
  <c r="R25" i="10"/>
  <c r="Q25" i="10"/>
  <c r="P25" i="10"/>
  <c r="O25" i="10"/>
  <c r="N25" i="10"/>
  <c r="M25" i="10"/>
  <c r="L25" i="10"/>
  <c r="I25" i="10"/>
  <c r="H25" i="10"/>
  <c r="G25" i="10"/>
  <c r="F25" i="10"/>
  <c r="E25" i="10"/>
  <c r="D25" i="10"/>
  <c r="C25" i="10"/>
  <c r="B25" i="10"/>
  <c r="W24" i="10"/>
  <c r="X24" i="10" s="1"/>
  <c r="V24" i="10"/>
  <c r="Z24" i="10" s="1"/>
  <c r="AA24" i="10" s="1"/>
  <c r="S24" i="10"/>
  <c r="R24" i="10"/>
  <c r="Q24" i="10"/>
  <c r="P24" i="10"/>
  <c r="O24" i="10"/>
  <c r="N24" i="10"/>
  <c r="M24" i="10"/>
  <c r="L24" i="10"/>
  <c r="I24" i="10"/>
  <c r="H24" i="10"/>
  <c r="G24" i="10"/>
  <c r="F24" i="10"/>
  <c r="E24" i="10"/>
  <c r="D24" i="10"/>
  <c r="C24" i="10"/>
  <c r="B24" i="10"/>
  <c r="V23" i="10"/>
  <c r="W23" i="10" s="1"/>
  <c r="X23" i="10" s="1"/>
  <c r="S23" i="10"/>
  <c r="R23" i="10"/>
  <c r="Q23" i="10"/>
  <c r="P23" i="10"/>
  <c r="O23" i="10"/>
  <c r="N23" i="10"/>
  <c r="M23" i="10"/>
  <c r="L23" i="10"/>
  <c r="I23" i="10"/>
  <c r="H23" i="10"/>
  <c r="G23" i="10"/>
  <c r="F23" i="10"/>
  <c r="E23" i="10"/>
  <c r="D23" i="10"/>
  <c r="C23" i="10"/>
  <c r="B23" i="10"/>
  <c r="AA22" i="10"/>
  <c r="Z22" i="10"/>
  <c r="V22" i="10"/>
  <c r="W22" i="10" s="1"/>
  <c r="X22" i="10" s="1"/>
  <c r="S22" i="10"/>
  <c r="R22" i="10"/>
  <c r="Q22" i="10"/>
  <c r="P22" i="10"/>
  <c r="O22" i="10"/>
  <c r="N22" i="10"/>
  <c r="M22" i="10"/>
  <c r="L22" i="10"/>
  <c r="I22" i="10"/>
  <c r="H22" i="10"/>
  <c r="G22" i="10"/>
  <c r="F22" i="10"/>
  <c r="E22" i="10"/>
  <c r="D22" i="10"/>
  <c r="C22" i="10"/>
  <c r="B22" i="10"/>
  <c r="W21" i="10"/>
  <c r="X21" i="10" s="1"/>
  <c r="V21" i="10"/>
  <c r="Z21" i="10" s="1"/>
  <c r="AA21" i="10" s="1"/>
  <c r="S21" i="10"/>
  <c r="R21" i="10"/>
  <c r="Q21" i="10"/>
  <c r="P21" i="10"/>
  <c r="O21" i="10"/>
  <c r="N21" i="10"/>
  <c r="M21" i="10"/>
  <c r="L21" i="10"/>
  <c r="I21" i="10"/>
  <c r="H21" i="10"/>
  <c r="G21" i="10"/>
  <c r="F21" i="10"/>
  <c r="E21" i="10"/>
  <c r="D21" i="10"/>
  <c r="C21" i="10"/>
  <c r="B21" i="10"/>
  <c r="V20" i="10"/>
  <c r="Z20" i="10" s="1"/>
  <c r="AA20" i="10" s="1"/>
  <c r="S20" i="10"/>
  <c r="R20" i="10"/>
  <c r="Q20" i="10"/>
  <c r="P20" i="10"/>
  <c r="O20" i="10"/>
  <c r="N20" i="10"/>
  <c r="M20" i="10"/>
  <c r="L20" i="10"/>
  <c r="I20" i="10"/>
  <c r="H20" i="10"/>
  <c r="G20" i="10"/>
  <c r="F20" i="10"/>
  <c r="E20" i="10"/>
  <c r="D20" i="10"/>
  <c r="C20" i="10"/>
  <c r="B20" i="10"/>
  <c r="AA19" i="10"/>
  <c r="Z19" i="10"/>
  <c r="V19" i="10"/>
  <c r="W19" i="10" s="1"/>
  <c r="X19" i="10" s="1"/>
  <c r="S19" i="10"/>
  <c r="R19" i="10"/>
  <c r="Q19" i="10"/>
  <c r="P19" i="10"/>
  <c r="O19" i="10"/>
  <c r="N19" i="10"/>
  <c r="M19" i="10"/>
  <c r="L19" i="10"/>
  <c r="I19" i="10"/>
  <c r="H19" i="10"/>
  <c r="G19" i="10"/>
  <c r="F19" i="10"/>
  <c r="E19" i="10"/>
  <c r="D19" i="10"/>
  <c r="C19" i="10"/>
  <c r="B19" i="10"/>
  <c r="W18" i="10"/>
  <c r="X18" i="10" s="1"/>
  <c r="V18" i="10"/>
  <c r="Z18" i="10" s="1"/>
  <c r="AA18" i="10" s="1"/>
  <c r="S18" i="10"/>
  <c r="R18" i="10"/>
  <c r="Q18" i="10"/>
  <c r="P18" i="10"/>
  <c r="O18" i="10"/>
  <c r="N18" i="10"/>
  <c r="M18" i="10"/>
  <c r="L18" i="10"/>
  <c r="I18" i="10"/>
  <c r="H18" i="10"/>
  <c r="G18" i="10"/>
  <c r="F18" i="10"/>
  <c r="E18" i="10"/>
  <c r="D18" i="10"/>
  <c r="C18" i="10"/>
  <c r="B18" i="10"/>
  <c r="AA17" i="10"/>
  <c r="Z17" i="10"/>
  <c r="W17" i="10"/>
  <c r="X17" i="10" s="1"/>
  <c r="V17" i="10"/>
  <c r="S17" i="10"/>
  <c r="R17" i="10"/>
  <c r="Q17" i="10"/>
  <c r="P17" i="10"/>
  <c r="O17" i="10"/>
  <c r="N17" i="10"/>
  <c r="M17" i="10"/>
  <c r="L17" i="10"/>
  <c r="I17" i="10"/>
  <c r="H17" i="10"/>
  <c r="G17" i="10"/>
  <c r="F17" i="10"/>
  <c r="E17" i="10"/>
  <c r="D17" i="10"/>
  <c r="C17" i="10"/>
  <c r="B17" i="10"/>
  <c r="W16" i="10"/>
  <c r="X16" i="10" s="1"/>
  <c r="V16" i="10"/>
  <c r="Z16" i="10" s="1"/>
  <c r="AA16" i="10" s="1"/>
  <c r="S16" i="10"/>
  <c r="R16" i="10"/>
  <c r="Q16" i="10"/>
  <c r="P16" i="10"/>
  <c r="O16" i="10"/>
  <c r="N16" i="10"/>
  <c r="M16" i="10"/>
  <c r="L16" i="10"/>
  <c r="I16" i="10"/>
  <c r="H16" i="10"/>
  <c r="G16" i="10"/>
  <c r="F16" i="10"/>
  <c r="E16" i="10"/>
  <c r="D16" i="10"/>
  <c r="C16" i="10"/>
  <c r="B16" i="10"/>
  <c r="V15" i="10"/>
  <c r="Z15" i="10" s="1"/>
  <c r="AA15" i="10" s="1"/>
  <c r="S15" i="10"/>
  <c r="R15" i="10"/>
  <c r="Q15" i="10"/>
  <c r="P15" i="10"/>
  <c r="O15" i="10"/>
  <c r="N15" i="10"/>
  <c r="M15" i="10"/>
  <c r="L15" i="10"/>
  <c r="I15" i="10"/>
  <c r="H15" i="10"/>
  <c r="G15" i="10"/>
  <c r="F15" i="10"/>
  <c r="E15" i="10"/>
  <c r="D15" i="10"/>
  <c r="C15" i="10"/>
  <c r="B15" i="10"/>
  <c r="AA14" i="10"/>
  <c r="Z14" i="10"/>
  <c r="V14" i="10"/>
  <c r="W14" i="10" s="1"/>
  <c r="X14" i="10" s="1"/>
  <c r="S14" i="10"/>
  <c r="R14" i="10"/>
  <c r="Q14" i="10"/>
  <c r="P14" i="10"/>
  <c r="O14" i="10"/>
  <c r="N14" i="10"/>
  <c r="M14" i="10"/>
  <c r="L14" i="10"/>
  <c r="I14" i="10"/>
  <c r="H14" i="10"/>
  <c r="G14" i="10"/>
  <c r="F14" i="10"/>
  <c r="E14" i="10"/>
  <c r="D14" i="10"/>
  <c r="C14" i="10"/>
  <c r="B14" i="10"/>
  <c r="W13" i="10"/>
  <c r="X13" i="10" s="1"/>
  <c r="V13" i="10"/>
  <c r="Z13" i="10" s="1"/>
  <c r="AA13" i="10" s="1"/>
  <c r="S13" i="10"/>
  <c r="R13" i="10"/>
  <c r="Q13" i="10"/>
  <c r="P13" i="10"/>
  <c r="O13" i="10"/>
  <c r="N13" i="10"/>
  <c r="M13" i="10"/>
  <c r="L13" i="10"/>
  <c r="I13" i="10"/>
  <c r="H13" i="10"/>
  <c r="G13" i="10"/>
  <c r="F13" i="10"/>
  <c r="E13" i="10"/>
  <c r="D13" i="10"/>
  <c r="C13" i="10"/>
  <c r="B13" i="10"/>
  <c r="V12" i="10"/>
  <c r="Z12" i="10" s="1"/>
  <c r="AA12" i="10" s="1"/>
  <c r="S12" i="10"/>
  <c r="R12" i="10"/>
  <c r="Q12" i="10"/>
  <c r="P12" i="10"/>
  <c r="O12" i="10"/>
  <c r="N12" i="10"/>
  <c r="M12" i="10"/>
  <c r="L12" i="10"/>
  <c r="I12" i="10"/>
  <c r="H12" i="10"/>
  <c r="G12" i="10"/>
  <c r="E12" i="10"/>
  <c r="D12" i="10"/>
  <c r="C12" i="10"/>
  <c r="B12" i="10"/>
  <c r="AA11" i="10"/>
  <c r="Z11" i="10"/>
  <c r="V11" i="10"/>
  <c r="W11" i="10" s="1"/>
  <c r="X11" i="10" s="1"/>
  <c r="S11" i="10"/>
  <c r="R11" i="10"/>
  <c r="Q11" i="10"/>
  <c r="P11" i="10"/>
  <c r="O11" i="10"/>
  <c r="N11" i="10"/>
  <c r="M11" i="10"/>
  <c r="L11" i="10"/>
  <c r="I11" i="10"/>
  <c r="H11" i="10"/>
  <c r="G11" i="10"/>
  <c r="F11" i="10"/>
  <c r="E11" i="10"/>
  <c r="D11" i="10"/>
  <c r="C11" i="10"/>
  <c r="B11" i="10"/>
  <c r="W10" i="10"/>
  <c r="X10" i="10" s="1"/>
  <c r="V10" i="10"/>
  <c r="Z10" i="10" s="1"/>
  <c r="AA10" i="10" s="1"/>
  <c r="S10" i="10"/>
  <c r="R10" i="10"/>
  <c r="Q10" i="10"/>
  <c r="P10" i="10"/>
  <c r="O10" i="10"/>
  <c r="N10" i="10"/>
  <c r="M10" i="10"/>
  <c r="L10" i="10"/>
  <c r="I10" i="10"/>
  <c r="H10" i="10"/>
  <c r="G10" i="10"/>
  <c r="F10" i="10"/>
  <c r="E10" i="10"/>
  <c r="D10" i="10"/>
  <c r="C10" i="10"/>
  <c r="B10" i="10"/>
  <c r="AA9" i="10"/>
  <c r="Z9" i="10"/>
  <c r="W9" i="10"/>
  <c r="X9" i="10" s="1"/>
  <c r="V9" i="10"/>
  <c r="S9" i="10"/>
  <c r="R9" i="10"/>
  <c r="Q9" i="10"/>
  <c r="P9" i="10"/>
  <c r="O9" i="10"/>
  <c r="N9" i="10"/>
  <c r="M9" i="10"/>
  <c r="L9" i="10"/>
  <c r="I9" i="10"/>
  <c r="H9" i="10"/>
  <c r="G9" i="10"/>
  <c r="F9" i="10"/>
  <c r="E9" i="10"/>
  <c r="D9" i="10"/>
  <c r="C9" i="10"/>
  <c r="B9" i="10"/>
  <c r="V8" i="10"/>
  <c r="Z8" i="10" s="1"/>
  <c r="AA8" i="10" s="1"/>
  <c r="S8" i="10"/>
  <c r="R8" i="10"/>
  <c r="Q8" i="10"/>
  <c r="P8" i="10"/>
  <c r="O8" i="10"/>
  <c r="N8" i="10"/>
  <c r="M8" i="10"/>
  <c r="L8" i="10"/>
  <c r="I8" i="10"/>
  <c r="H8" i="10"/>
  <c r="G8" i="10"/>
  <c r="F8" i="10"/>
  <c r="E8" i="10"/>
  <c r="D8" i="10"/>
  <c r="C8" i="10"/>
  <c r="B8" i="10"/>
  <c r="V7" i="10"/>
  <c r="W7" i="10" s="1"/>
  <c r="X7" i="10" s="1"/>
  <c r="AA6" i="10"/>
  <c r="Z6" i="10"/>
  <c r="V6" i="10"/>
  <c r="W6" i="10" s="1"/>
  <c r="X6" i="10" s="1"/>
  <c r="Z5" i="10"/>
  <c r="AA5" i="10" s="1"/>
  <c r="X5" i="10"/>
  <c r="W5" i="10"/>
  <c r="V5" i="10"/>
  <c r="V4" i="10"/>
  <c r="Z4" i="10" s="1"/>
  <c r="AA4" i="10" s="1"/>
  <c r="V3" i="10"/>
  <c r="Z3" i="10" s="1"/>
  <c r="AA3" i="10" s="1"/>
  <c r="L92" i="8"/>
  <c r="M92" i="8"/>
  <c r="N92" i="8"/>
  <c r="O92" i="8"/>
  <c r="P92" i="8"/>
  <c r="Q92" i="8"/>
  <c r="R92" i="8"/>
  <c r="S92" i="8"/>
  <c r="L93" i="8"/>
  <c r="M93" i="8"/>
  <c r="N93" i="8"/>
  <c r="O93" i="8"/>
  <c r="P93" i="8"/>
  <c r="Q93" i="8"/>
  <c r="R93" i="8"/>
  <c r="S93" i="8"/>
  <c r="L94" i="8"/>
  <c r="M94" i="8"/>
  <c r="N94" i="8"/>
  <c r="O94" i="8"/>
  <c r="P94" i="8"/>
  <c r="Q94" i="8"/>
  <c r="R94" i="8"/>
  <c r="S94" i="8"/>
  <c r="L95" i="8"/>
  <c r="M95" i="8"/>
  <c r="N95" i="8"/>
  <c r="O95" i="8"/>
  <c r="P95" i="8"/>
  <c r="Q95" i="8"/>
  <c r="R95" i="8"/>
  <c r="S95" i="8"/>
  <c r="L96" i="8"/>
  <c r="M96" i="8"/>
  <c r="N96" i="8"/>
  <c r="O96" i="8"/>
  <c r="P96" i="8"/>
  <c r="Q96" i="8"/>
  <c r="R96" i="8"/>
  <c r="S96" i="8"/>
  <c r="L97" i="8"/>
  <c r="M97" i="8"/>
  <c r="N97" i="8"/>
  <c r="O97" i="8"/>
  <c r="P97" i="8"/>
  <c r="Q97" i="8"/>
  <c r="R97" i="8"/>
  <c r="S97" i="8"/>
  <c r="L98" i="8"/>
  <c r="M98" i="8"/>
  <c r="N98" i="8"/>
  <c r="O98" i="8"/>
  <c r="P98" i="8"/>
  <c r="Q98" i="8"/>
  <c r="R98" i="8"/>
  <c r="S98" i="8"/>
  <c r="F92" i="8"/>
  <c r="G92" i="8"/>
  <c r="H92" i="8"/>
  <c r="I92" i="8"/>
  <c r="F93" i="8"/>
  <c r="G93" i="8"/>
  <c r="H93" i="8"/>
  <c r="I93" i="8"/>
  <c r="F94" i="8"/>
  <c r="G94" i="8"/>
  <c r="H94" i="8"/>
  <c r="I94" i="8"/>
  <c r="F95" i="8"/>
  <c r="G95" i="8"/>
  <c r="H95" i="8"/>
  <c r="I95" i="8"/>
  <c r="F96" i="8"/>
  <c r="G96" i="8"/>
  <c r="F97" i="8"/>
  <c r="G97" i="8"/>
  <c r="H97" i="8"/>
  <c r="I97" i="8"/>
  <c r="F98" i="8"/>
  <c r="G98" i="8"/>
  <c r="H98" i="8"/>
  <c r="I98" i="8"/>
  <c r="E98" i="8"/>
  <c r="D98" i="8"/>
  <c r="E92" i="8"/>
  <c r="E93" i="8"/>
  <c r="E94" i="8"/>
  <c r="E95" i="8"/>
  <c r="E96" i="8"/>
  <c r="E97" i="8"/>
  <c r="D92" i="8"/>
  <c r="D93" i="8"/>
  <c r="D94" i="8"/>
  <c r="D95" i="8"/>
  <c r="D96" i="8"/>
  <c r="D97" i="8"/>
  <c r="C92" i="8"/>
  <c r="C93" i="8"/>
  <c r="C94" i="8"/>
  <c r="C95" i="8"/>
  <c r="C96" i="8"/>
  <c r="C97" i="8"/>
  <c r="C98" i="8"/>
  <c r="B92" i="8"/>
  <c r="B93" i="8"/>
  <c r="B94" i="8"/>
  <c r="B95" i="8"/>
  <c r="B96" i="8"/>
  <c r="B97" i="8"/>
  <c r="B9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8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90" i="8"/>
  <c r="I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3" i="8"/>
  <c r="H84" i="8"/>
  <c r="H85" i="8"/>
  <c r="H86" i="8"/>
  <c r="H87" i="8"/>
  <c r="H88" i="8"/>
  <c r="H89" i="8"/>
  <c r="H90" i="8"/>
  <c r="H91" i="8"/>
  <c r="H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7" i="8"/>
  <c r="F88" i="8"/>
  <c r="F89" i="8"/>
  <c r="F90" i="8"/>
  <c r="F91" i="8"/>
  <c r="F8" i="8"/>
  <c r="E9" i="8"/>
  <c r="E10" i="8"/>
  <c r="E11" i="8"/>
  <c r="E12" i="8"/>
  <c r="E13" i="8"/>
  <c r="E14" i="8"/>
  <c r="E15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8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10" i="8"/>
  <c r="C11" i="8"/>
  <c r="C9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8" i="8"/>
  <c r="B9" i="8"/>
  <c r="B10" i="8"/>
  <c r="B11" i="8"/>
  <c r="D3" i="3"/>
  <c r="D4" i="3"/>
  <c r="D5" i="3"/>
  <c r="D6" i="3"/>
  <c r="D7" i="3"/>
  <c r="D8" i="3"/>
  <c r="D9" i="3"/>
  <c r="D2" i="3"/>
  <c r="C3" i="3"/>
  <c r="C4" i="3"/>
  <c r="C5" i="3"/>
  <c r="C6" i="3"/>
  <c r="C7" i="3"/>
  <c r="C8" i="3"/>
  <c r="C9" i="3"/>
  <c r="E6" i="15" l="1"/>
  <c r="H6" i="15"/>
  <c r="B6" i="15"/>
  <c r="A7" i="15"/>
  <c r="K6" i="15"/>
  <c r="J6" i="15"/>
  <c r="G6" i="15"/>
  <c r="F6" i="15"/>
  <c r="C74" i="11"/>
  <c r="F76" i="11"/>
  <c r="C47" i="11"/>
  <c r="C55" i="11"/>
  <c r="C63" i="11"/>
  <c r="C71" i="11"/>
  <c r="C79" i="11"/>
  <c r="F6" i="11"/>
  <c r="F14" i="11"/>
  <c r="F22" i="11"/>
  <c r="F30" i="11"/>
  <c r="F38" i="11"/>
  <c r="F78" i="11"/>
  <c r="F8" i="11"/>
  <c r="F16" i="11"/>
  <c r="F24" i="11"/>
  <c r="F32" i="11"/>
  <c r="F40" i="11"/>
  <c r="F48" i="11"/>
  <c r="F56" i="11"/>
  <c r="F64" i="11"/>
  <c r="F72" i="11"/>
  <c r="F80" i="11"/>
  <c r="F77" i="11"/>
  <c r="W8" i="10"/>
  <c r="X8" i="10" s="1"/>
  <c r="W3" i="10"/>
  <c r="X3" i="10" s="1"/>
  <c r="W31" i="10"/>
  <c r="X31" i="10" s="1"/>
  <c r="W47" i="10"/>
  <c r="X47" i="10" s="1"/>
  <c r="W4" i="10"/>
  <c r="X4" i="10" s="1"/>
  <c r="W12" i="10"/>
  <c r="X12" i="10" s="1"/>
  <c r="W20" i="10"/>
  <c r="X20" i="10" s="1"/>
  <c r="W28" i="10"/>
  <c r="X28" i="10" s="1"/>
  <c r="W36" i="10"/>
  <c r="X36" i="10" s="1"/>
  <c r="W44" i="10"/>
  <c r="X44" i="10" s="1"/>
  <c r="W52" i="10"/>
  <c r="X52" i="10" s="1"/>
  <c r="W60" i="10"/>
  <c r="X60" i="10" s="1"/>
  <c r="W68" i="10"/>
  <c r="X68" i="10" s="1"/>
  <c r="W76" i="10"/>
  <c r="X76" i="10" s="1"/>
  <c r="W15" i="10"/>
  <c r="X15" i="10" s="1"/>
  <c r="Z7" i="10"/>
  <c r="AA7" i="10" s="1"/>
  <c r="Z23" i="10"/>
  <c r="AA23" i="10" s="1"/>
  <c r="Z39" i="10"/>
  <c r="AA39" i="10" s="1"/>
  <c r="Z55" i="10"/>
  <c r="AA55" i="10" s="1"/>
  <c r="Z63" i="10"/>
  <c r="AA63" i="10" s="1"/>
  <c r="Z71" i="10"/>
  <c r="AA71" i="10" s="1"/>
  <c r="Z79" i="10"/>
  <c r="AA79" i="10" s="1"/>
  <c r="F7" i="15" l="1"/>
  <c r="E7" i="15"/>
  <c r="B7" i="15"/>
  <c r="A8" i="15"/>
  <c r="K7" i="15"/>
  <c r="J7" i="15"/>
  <c r="G7" i="15"/>
  <c r="H7" i="15"/>
  <c r="A9" i="15" l="1"/>
  <c r="G8" i="15"/>
  <c r="K8" i="15"/>
  <c r="F8" i="15"/>
  <c r="E8" i="15"/>
  <c r="B8" i="15"/>
  <c r="J8" i="15"/>
  <c r="H8" i="15"/>
  <c r="A10" i="15" l="1"/>
  <c r="H9" i="15"/>
  <c r="G9" i="15"/>
  <c r="B9" i="15"/>
  <c r="F9" i="15"/>
  <c r="E9" i="15"/>
  <c r="K9" i="15"/>
  <c r="J9" i="15"/>
  <c r="A11" i="15" l="1"/>
  <c r="J10" i="15"/>
  <c r="E10" i="15"/>
  <c r="H10" i="15"/>
  <c r="G10" i="15"/>
  <c r="B10" i="15"/>
  <c r="F10" i="15"/>
  <c r="K10" i="15"/>
  <c r="A12" i="15" l="1"/>
  <c r="K11" i="15"/>
  <c r="J11" i="15"/>
  <c r="H11" i="15"/>
  <c r="F11" i="15"/>
  <c r="E11" i="15"/>
  <c r="G11" i="15"/>
  <c r="B11" i="15"/>
  <c r="A13" i="15" l="1"/>
  <c r="K12" i="15"/>
  <c r="J12" i="15"/>
  <c r="F12" i="15"/>
  <c r="H12" i="15"/>
  <c r="G12" i="15"/>
  <c r="E12" i="15"/>
  <c r="B12" i="15"/>
  <c r="A14" i="15" l="1"/>
  <c r="B13" i="15"/>
  <c r="G13" i="15"/>
  <c r="K13" i="15"/>
  <c r="J13" i="15"/>
  <c r="H13" i="15"/>
  <c r="F13" i="15"/>
  <c r="E13" i="15"/>
  <c r="A15" i="15" l="1"/>
  <c r="E14" i="15"/>
  <c r="B14" i="15"/>
  <c r="K14" i="15"/>
  <c r="H14" i="15"/>
  <c r="J14" i="15"/>
  <c r="F14" i="15"/>
  <c r="G14" i="15"/>
  <c r="A16" i="15" l="1"/>
  <c r="F15" i="15"/>
  <c r="E15" i="15"/>
  <c r="B15" i="15"/>
  <c r="J15" i="15"/>
  <c r="K15" i="15"/>
  <c r="G15" i="15"/>
  <c r="H15" i="15"/>
  <c r="A17" i="15" l="1"/>
  <c r="G16" i="15"/>
  <c r="F16" i="15"/>
  <c r="E16" i="15"/>
  <c r="B16" i="15"/>
  <c r="K16" i="15"/>
  <c r="H16" i="15"/>
  <c r="J16" i="15"/>
  <c r="A18" i="15" l="1"/>
  <c r="H17" i="15"/>
  <c r="B17" i="15"/>
  <c r="G17" i="15"/>
  <c r="F17" i="15"/>
  <c r="E17" i="15"/>
  <c r="K17" i="15"/>
  <c r="J17" i="15"/>
  <c r="A19" i="15" l="1"/>
  <c r="J18" i="15"/>
  <c r="H18" i="15"/>
  <c r="E18" i="15"/>
  <c r="G18" i="15"/>
  <c r="B18" i="15"/>
  <c r="F18" i="15"/>
  <c r="K18" i="15"/>
  <c r="A20" i="15" l="1"/>
  <c r="K19" i="15"/>
  <c r="J19" i="15"/>
  <c r="H19" i="15"/>
  <c r="G19" i="15"/>
  <c r="F19" i="15"/>
  <c r="E19" i="15"/>
  <c r="B19" i="15"/>
  <c r="A21" i="15" l="1"/>
  <c r="K20" i="15"/>
  <c r="J20" i="15"/>
  <c r="H20" i="15"/>
  <c r="F20" i="15"/>
  <c r="G20" i="15"/>
  <c r="E20" i="15"/>
  <c r="B20" i="15"/>
  <c r="A22" i="15" l="1"/>
  <c r="B21" i="15"/>
  <c r="K21" i="15"/>
  <c r="J21" i="15"/>
  <c r="G21" i="15"/>
  <c r="H21" i="15"/>
  <c r="F21" i="15"/>
  <c r="E21" i="15"/>
  <c r="A23" i="15" l="1"/>
  <c r="E22" i="15"/>
  <c r="B22" i="15"/>
  <c r="K22" i="15"/>
  <c r="J22" i="15"/>
  <c r="H22" i="15"/>
  <c r="F22" i="15"/>
  <c r="G22" i="15"/>
  <c r="A24" i="15" l="1"/>
  <c r="F23" i="15"/>
  <c r="E23" i="15"/>
  <c r="J23" i="15"/>
  <c r="B23" i="15"/>
  <c r="K23" i="15"/>
  <c r="G23" i="15"/>
  <c r="H23" i="15"/>
  <c r="A25" i="15" l="1"/>
  <c r="G24" i="15"/>
  <c r="F24" i="15"/>
  <c r="K24" i="15"/>
  <c r="E24" i="15"/>
  <c r="B24" i="15"/>
  <c r="H24" i="15"/>
  <c r="J24" i="15"/>
  <c r="A26" i="15" l="1"/>
  <c r="H25" i="15"/>
  <c r="G25" i="15"/>
  <c r="B25" i="15"/>
  <c r="F25" i="15"/>
  <c r="E25" i="15"/>
  <c r="K25" i="15"/>
  <c r="J25" i="15"/>
  <c r="A27" i="15" l="1"/>
  <c r="J26" i="15"/>
  <c r="H26" i="15"/>
  <c r="G26" i="15"/>
  <c r="E26" i="15"/>
  <c r="F26" i="15"/>
  <c r="B26" i="15"/>
  <c r="K26" i="15"/>
  <c r="A28" i="15" l="1"/>
  <c r="K27" i="15"/>
  <c r="J27" i="15"/>
  <c r="H27" i="15"/>
  <c r="G27" i="15"/>
  <c r="E27" i="15"/>
  <c r="F27" i="15"/>
  <c r="B27" i="15"/>
  <c r="A29" i="15" l="1"/>
  <c r="G28" i="15"/>
  <c r="F28" i="15"/>
  <c r="K28" i="15"/>
  <c r="J28" i="15"/>
  <c r="H28" i="15"/>
  <c r="E28" i="15"/>
  <c r="B28" i="15"/>
  <c r="A30" i="15" l="1"/>
  <c r="B29" i="15"/>
  <c r="K29" i="15"/>
  <c r="J29" i="15"/>
  <c r="H29" i="15"/>
  <c r="G29" i="15"/>
  <c r="F29" i="15"/>
  <c r="E29" i="15"/>
  <c r="A31" i="15" l="1"/>
  <c r="E30" i="15"/>
  <c r="B30" i="15"/>
  <c r="H30" i="15"/>
  <c r="K30" i="15"/>
  <c r="J30" i="15"/>
  <c r="F30" i="15"/>
  <c r="G30" i="15"/>
  <c r="A32" i="15" l="1"/>
  <c r="F31" i="15"/>
  <c r="E31" i="15"/>
  <c r="B31" i="15"/>
  <c r="K31" i="15"/>
  <c r="J31" i="15"/>
  <c r="G31" i="15"/>
  <c r="H31" i="15"/>
  <c r="A33" i="15" l="1"/>
  <c r="G32" i="15"/>
  <c r="F32" i="15"/>
  <c r="E32" i="15"/>
  <c r="K32" i="15"/>
  <c r="B32" i="15"/>
  <c r="J32" i="15"/>
  <c r="H32" i="15"/>
  <c r="A34" i="15" l="1"/>
  <c r="H33" i="15"/>
  <c r="B33" i="15"/>
  <c r="G33" i="15"/>
  <c r="F33" i="15"/>
  <c r="E33" i="15"/>
  <c r="J33" i="15"/>
  <c r="K33" i="15"/>
  <c r="A35" i="15" l="1"/>
  <c r="J34" i="15"/>
  <c r="H34" i="15"/>
  <c r="G34" i="15"/>
  <c r="B34" i="15"/>
  <c r="F34" i="15"/>
  <c r="E34" i="15"/>
  <c r="K34" i="15"/>
  <c r="A36" i="15" l="1"/>
  <c r="K35" i="15"/>
  <c r="F35" i="15"/>
  <c r="E35" i="15"/>
  <c r="J35" i="15"/>
  <c r="H35" i="15"/>
  <c r="G35" i="15"/>
  <c r="B35" i="15"/>
  <c r="A37" i="15" l="1"/>
  <c r="K36" i="15"/>
  <c r="G36" i="15"/>
  <c r="F36" i="15"/>
  <c r="J36" i="15"/>
  <c r="H36" i="15"/>
  <c r="B36" i="15"/>
  <c r="E36" i="15"/>
  <c r="A38" i="15" l="1"/>
  <c r="B37" i="15"/>
  <c r="G37" i="15"/>
  <c r="K37" i="15"/>
  <c r="J37" i="15"/>
  <c r="H37" i="15"/>
  <c r="E37" i="15"/>
  <c r="F37" i="15"/>
  <c r="A39" i="15" l="1"/>
  <c r="E38" i="15"/>
  <c r="B38" i="15"/>
  <c r="H38" i="15"/>
  <c r="K38" i="15"/>
  <c r="J38" i="15"/>
  <c r="G38" i="15"/>
  <c r="F38" i="15"/>
  <c r="A40" i="15" l="1"/>
  <c r="F39" i="15"/>
  <c r="J39" i="15"/>
  <c r="E39" i="15"/>
  <c r="B39" i="15"/>
  <c r="K39" i="15"/>
  <c r="G39" i="15"/>
  <c r="H39" i="15"/>
  <c r="A41" i="15" l="1"/>
  <c r="G40" i="15"/>
  <c r="F40" i="15"/>
  <c r="E40" i="15"/>
  <c r="B40" i="15"/>
  <c r="K40" i="15"/>
  <c r="J40" i="15"/>
  <c r="H40" i="15"/>
  <c r="A42" i="15" l="1"/>
  <c r="H41" i="15"/>
  <c r="G41" i="15"/>
  <c r="B41" i="15"/>
  <c r="F41" i="15"/>
  <c r="E41" i="15"/>
  <c r="K41" i="15"/>
  <c r="J41" i="15"/>
  <c r="A43" i="15" l="1"/>
  <c r="J42" i="15"/>
  <c r="E42" i="15"/>
  <c r="H42" i="15"/>
  <c r="G42" i="15"/>
  <c r="F42" i="15"/>
  <c r="K42" i="15"/>
  <c r="B42" i="15"/>
  <c r="A44" i="15" l="1"/>
  <c r="K43" i="15"/>
  <c r="J43" i="15"/>
  <c r="F43" i="15"/>
  <c r="H43" i="15"/>
  <c r="E43" i="15"/>
  <c r="G43" i="15"/>
  <c r="B43" i="15"/>
  <c r="A45" i="15" l="1"/>
  <c r="K44" i="15"/>
  <c r="J44" i="15"/>
  <c r="G44" i="15"/>
  <c r="H44" i="15"/>
  <c r="F44" i="15"/>
  <c r="E44" i="15"/>
  <c r="B44" i="15"/>
  <c r="A46" i="15" l="1"/>
  <c r="B45" i="15"/>
  <c r="K45" i="15"/>
  <c r="G45" i="15"/>
  <c r="J45" i="15"/>
  <c r="H45" i="15"/>
  <c r="E45" i="15"/>
  <c r="F45" i="15"/>
  <c r="A47" i="15" l="1"/>
  <c r="E46" i="15"/>
  <c r="H46" i="15"/>
  <c r="B46" i="15"/>
  <c r="K46" i="15"/>
  <c r="J46" i="15"/>
  <c r="G46" i="15"/>
  <c r="F46" i="15"/>
  <c r="A48" i="15" l="1"/>
  <c r="F47" i="15"/>
  <c r="E47" i="15"/>
  <c r="B47" i="15"/>
  <c r="J47" i="15"/>
  <c r="K47" i="15"/>
  <c r="G47" i="15"/>
  <c r="H47" i="15"/>
  <c r="A49" i="15" l="1"/>
  <c r="G48" i="15"/>
  <c r="F48" i="15"/>
  <c r="E48" i="15"/>
  <c r="B48" i="15"/>
  <c r="K48" i="15"/>
  <c r="H48" i="15"/>
  <c r="J48" i="15"/>
  <c r="A50" i="15" l="1"/>
  <c r="H49" i="15"/>
  <c r="B49" i="15"/>
  <c r="G49" i="15"/>
  <c r="F49" i="15"/>
  <c r="E49" i="15"/>
  <c r="K49" i="15"/>
  <c r="J49" i="15"/>
  <c r="A51" i="15" l="1"/>
  <c r="J50" i="15"/>
  <c r="H50" i="15"/>
  <c r="E50" i="15"/>
  <c r="G50" i="15"/>
  <c r="B50" i="15"/>
  <c r="F50" i="15"/>
  <c r="K50" i="15"/>
  <c r="A52" i="15" l="1"/>
  <c r="K51" i="15"/>
  <c r="J51" i="15"/>
  <c r="H51" i="15"/>
  <c r="G51" i="15"/>
  <c r="F51" i="15"/>
  <c r="E51" i="15"/>
  <c r="B51" i="15"/>
  <c r="A53" i="15" l="1"/>
  <c r="K52" i="15"/>
  <c r="J52" i="15"/>
  <c r="F52" i="15"/>
  <c r="H52" i="15"/>
  <c r="G52" i="15"/>
  <c r="B52" i="15"/>
  <c r="E52" i="15"/>
  <c r="A54" i="15" l="1"/>
  <c r="B53" i="15"/>
  <c r="K53" i="15"/>
  <c r="J53" i="15"/>
  <c r="G53" i="15"/>
  <c r="H53" i="15"/>
  <c r="F53" i="15"/>
  <c r="E53" i="15"/>
  <c r="A55" i="15" l="1"/>
  <c r="E54" i="15"/>
  <c r="B54" i="15"/>
  <c r="K54" i="15"/>
  <c r="H54" i="15"/>
  <c r="J54" i="15"/>
  <c r="F54" i="15"/>
  <c r="G54" i="15"/>
  <c r="A56" i="15" l="1"/>
  <c r="F55" i="15"/>
  <c r="E55" i="15"/>
  <c r="B55" i="15"/>
  <c r="K55" i="15"/>
  <c r="J55" i="15"/>
  <c r="H55" i="15"/>
  <c r="G55" i="15"/>
  <c r="A57" i="15" l="1"/>
  <c r="G56" i="15"/>
  <c r="F56" i="15"/>
  <c r="K56" i="15"/>
  <c r="E56" i="15"/>
  <c r="B56" i="15"/>
  <c r="J56" i="15"/>
  <c r="H56" i="15"/>
  <c r="A58" i="15" l="1"/>
  <c r="H57" i="15"/>
  <c r="G57" i="15"/>
  <c r="F57" i="15"/>
  <c r="E57" i="15"/>
  <c r="B57" i="15"/>
  <c r="J57" i="15"/>
  <c r="K57" i="15"/>
  <c r="A59" i="15" l="1"/>
  <c r="J58" i="15"/>
  <c r="H58" i="15"/>
  <c r="G58" i="15"/>
  <c r="E58" i="15"/>
  <c r="F58" i="15"/>
  <c r="B58" i="15"/>
  <c r="K58" i="15"/>
  <c r="A60" i="15" l="1"/>
  <c r="K59" i="15"/>
  <c r="J59" i="15"/>
  <c r="H59" i="15"/>
  <c r="F59" i="15"/>
  <c r="G59" i="15"/>
  <c r="E59" i="15"/>
  <c r="B59" i="15"/>
  <c r="A61" i="15" l="1"/>
  <c r="K60" i="15"/>
  <c r="J60" i="15"/>
  <c r="H60" i="15"/>
  <c r="F60" i="15"/>
  <c r="G60" i="15"/>
  <c r="B60" i="15"/>
  <c r="E60" i="15"/>
  <c r="A62" i="15" l="1"/>
  <c r="B61" i="15"/>
  <c r="G61" i="15"/>
  <c r="H61" i="15"/>
  <c r="K61" i="15"/>
  <c r="J61" i="15"/>
  <c r="F61" i="15"/>
  <c r="E61" i="15"/>
  <c r="A63" i="15" l="1"/>
  <c r="E62" i="15"/>
  <c r="B62" i="15"/>
  <c r="K62" i="15"/>
  <c r="J62" i="15"/>
  <c r="H62" i="15"/>
  <c r="F62" i="15"/>
  <c r="G62" i="15"/>
  <c r="A64" i="15" l="1"/>
  <c r="F63" i="15"/>
  <c r="E63" i="15"/>
  <c r="J63" i="15"/>
  <c r="B63" i="15"/>
  <c r="K63" i="15"/>
  <c r="H63" i="15"/>
  <c r="G63" i="15"/>
  <c r="A65" i="15" l="1"/>
  <c r="G64" i="15"/>
  <c r="K64" i="15"/>
  <c r="F64" i="15"/>
  <c r="E64" i="15"/>
  <c r="B64" i="15"/>
  <c r="J64" i="15"/>
  <c r="H64" i="15"/>
  <c r="A66" i="15" l="1"/>
  <c r="H65" i="15"/>
  <c r="G65" i="15"/>
  <c r="F65" i="15"/>
  <c r="E65" i="15"/>
  <c r="B65" i="15"/>
  <c r="J65" i="15"/>
  <c r="K65" i="15"/>
  <c r="A67" i="15" l="1"/>
  <c r="J66" i="15"/>
  <c r="H66" i="15"/>
  <c r="B66" i="15"/>
  <c r="G66" i="15"/>
  <c r="F66" i="15"/>
  <c r="E66" i="15"/>
  <c r="K66" i="15"/>
  <c r="A68" i="15" l="1"/>
  <c r="K67" i="15"/>
  <c r="J67" i="15"/>
  <c r="E67" i="15"/>
  <c r="H67" i="15"/>
  <c r="G67" i="15"/>
  <c r="F67" i="15"/>
  <c r="B67" i="15"/>
  <c r="A69" i="15" l="1"/>
  <c r="G68" i="15"/>
  <c r="F68" i="15"/>
  <c r="K68" i="15"/>
  <c r="J68" i="15"/>
  <c r="H68" i="15"/>
  <c r="B68" i="15"/>
  <c r="E68" i="15"/>
  <c r="A70" i="15" l="1"/>
  <c r="B69" i="15"/>
  <c r="K69" i="15"/>
  <c r="H69" i="15"/>
  <c r="J69" i="15"/>
  <c r="G69" i="15"/>
  <c r="E69" i="15"/>
  <c r="F69" i="15"/>
  <c r="A71" i="15" l="1"/>
  <c r="E70" i="15"/>
  <c r="B70" i="15"/>
  <c r="H70" i="15"/>
  <c r="K70" i="15"/>
  <c r="J70" i="15"/>
  <c r="G70" i="15"/>
  <c r="F70" i="15"/>
  <c r="A72" i="15" l="1"/>
  <c r="F71" i="15"/>
  <c r="E71" i="15"/>
  <c r="B71" i="15"/>
  <c r="J71" i="15"/>
  <c r="K71" i="15"/>
  <c r="G71" i="15"/>
  <c r="H71" i="15"/>
  <c r="A73" i="15" l="1"/>
  <c r="G72" i="15"/>
  <c r="F72" i="15"/>
  <c r="E72" i="15"/>
  <c r="K72" i="15"/>
  <c r="B72" i="15"/>
  <c r="H72" i="15"/>
  <c r="J72" i="15"/>
  <c r="A74" i="15" l="1"/>
  <c r="H73" i="15"/>
  <c r="B73" i="15"/>
  <c r="G73" i="15"/>
  <c r="F73" i="15"/>
  <c r="E73" i="15"/>
  <c r="K73" i="15"/>
  <c r="J73" i="15"/>
  <c r="J74" i="15" l="1"/>
  <c r="H74" i="15"/>
  <c r="G74" i="15"/>
  <c r="E74" i="15"/>
  <c r="F74" i="15"/>
  <c r="K74" i="15"/>
  <c r="B74" i="15"/>
</calcChain>
</file>

<file path=xl/sharedStrings.xml><?xml version="1.0" encoding="utf-8"?>
<sst xmlns="http://schemas.openxmlformats.org/spreadsheetml/2006/main" count="256" uniqueCount="73">
  <si>
    <t>u (cm)</t>
  </si>
  <si>
    <t>v (cm)</t>
  </si>
  <si>
    <t>1/u</t>
  </si>
  <si>
    <t>1/v</t>
  </si>
  <si>
    <t xml:space="preserve">The equation from the image is </t>
  </si>
  <si>
    <t>The lens equation is such:</t>
  </si>
  <si>
    <t>y = -1.0406x + 0.0669</t>
  </si>
  <si>
    <t>1/f = 1/u + 1/v</t>
  </si>
  <si>
    <t>y=mx+c</t>
  </si>
  <si>
    <t>Comparing the two equations, we find that</t>
  </si>
  <si>
    <t>f = 1/c = 1/0.0669</t>
  </si>
  <si>
    <t>m = -1.046</t>
  </si>
  <si>
    <t>f=14.95cm</t>
  </si>
  <si>
    <t>c=0.0669 (1/f)</t>
  </si>
  <si>
    <t>The veracity of an equation is where we measure how mathematically accurate it is</t>
  </si>
  <si>
    <t>Here, we find R² = 0.9977, supporting the thin lens equation's validity</t>
  </si>
  <si>
    <t>Primary:</t>
  </si>
  <si>
    <t>Secondary:</t>
  </si>
  <si>
    <t xml:space="preserve">Primary Red </t>
  </si>
  <si>
    <t>Primary Orange</t>
  </si>
  <si>
    <t xml:space="preserve">Primary Yellow </t>
  </si>
  <si>
    <t>Primary Green</t>
  </si>
  <si>
    <t>Primary Cyan</t>
  </si>
  <si>
    <t>Primary Blue</t>
  </si>
  <si>
    <t>Primary Violet</t>
  </si>
  <si>
    <t xml:space="preserve">Sec Red </t>
  </si>
  <si>
    <t>Sec Orange</t>
  </si>
  <si>
    <t xml:space="preserve">Sec Yellow </t>
  </si>
  <si>
    <t>Sec Green</t>
  </si>
  <si>
    <t>Sec Cyan</t>
  </si>
  <si>
    <t>Sec Blue</t>
  </si>
  <si>
    <t>Sec Violet</t>
  </si>
  <si>
    <t>f (THz)</t>
  </si>
  <si>
    <t>n</t>
  </si>
  <si>
    <t>theta (deg)</t>
  </si>
  <si>
    <t>theta (rad)</t>
  </si>
  <si>
    <t>epsilon (deg)</t>
  </si>
  <si>
    <t>Theta (Deg)</t>
  </si>
  <si>
    <t>Theta (Rad)</t>
  </si>
  <si>
    <t>epsilon 1</t>
  </si>
  <si>
    <t>epsilon 2</t>
  </si>
  <si>
    <t>Frequency (THz)</t>
  </si>
  <si>
    <t>Refractive Index (n)</t>
  </si>
  <si>
    <t>theta1 (deg)</t>
  </si>
  <si>
    <t>epsilon1 (deg)</t>
  </si>
  <si>
    <t>theta2 (deg)</t>
  </si>
  <si>
    <t>epsilon2 (deg)</t>
  </si>
  <si>
    <t>Prim red</t>
  </si>
  <si>
    <t>Prim orange</t>
  </si>
  <si>
    <t>Prim yellow</t>
  </si>
  <si>
    <t>Prim green</t>
  </si>
  <si>
    <t>Prim Cyan</t>
  </si>
  <si>
    <t>Prim Blue</t>
  </si>
  <si>
    <t>Prim Violet</t>
  </si>
  <si>
    <t>Sec red</t>
  </si>
  <si>
    <t>Sec orange</t>
  </si>
  <si>
    <t>Sec yellow</t>
  </si>
  <si>
    <t>Sec green</t>
  </si>
  <si>
    <t>Critical:</t>
  </si>
  <si>
    <t>phi1 (deg)</t>
  </si>
  <si>
    <t>phi2 (deg)</t>
  </si>
  <si>
    <t>crit (deg)</t>
  </si>
  <si>
    <t>Angle (deg)</t>
  </si>
  <si>
    <t>Azimuth (deg)</t>
  </si>
  <si>
    <t>Sun Elevation</t>
  </si>
  <si>
    <t>Prim Red</t>
  </si>
  <si>
    <t>Prim Orange</t>
  </si>
  <si>
    <t>Prim Yellow</t>
  </si>
  <si>
    <t>Prim Green</t>
  </si>
  <si>
    <t xml:space="preserve">Prim Violet </t>
  </si>
  <si>
    <t>Sec Red</t>
  </si>
  <si>
    <t>Sec Yellow</t>
  </si>
  <si>
    <t xml:space="preserve">Sec Violet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</si>
</sst>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8E8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0" xfId="0" applyFill="1"/>
    <xf numFmtId="0" fontId="2" fillId="0" borderId="0" xfId="0" applyFont="1"/>
    <xf numFmtId="2" fontId="0" fillId="0" borderId="0" xfId="0" applyNumberFormat="1"/>
    <xf numFmtId="2" fontId="1" fillId="2" borderId="1" xfId="0" applyNumberFormat="1" applyFont="1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2" fontId="0" fillId="7" borderId="1" xfId="0" applyNumberFormat="1" applyFill="1" applyBorder="1"/>
    <xf numFmtId="2" fontId="0" fillId="8" borderId="1" xfId="0" applyNumberFormat="1" applyFill="1" applyBorder="1"/>
    <xf numFmtId="2" fontId="0" fillId="2" borderId="1" xfId="0" applyNumberFormat="1" applyFill="1" applyBorder="1"/>
    <xf numFmtId="165" fontId="0" fillId="0" borderId="0" xfId="0" applyNumberFormat="1"/>
    <xf numFmtId="0" fontId="3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4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E8D8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To</a:t>
            </a:r>
            <a:r>
              <a:rPr lang="en-US" baseline="0"/>
              <a:t> Demonstrate The Thin Lens Equation </a:t>
            </a:r>
            <a:endParaRPr lang="en-US"/>
          </a:p>
        </c:rich>
      </c:tx>
      <c:layout>
        <c:manualLayout>
          <c:xMode val="edge"/>
          <c:yMode val="edge"/>
          <c:x val="0.14561198811988954"/>
          <c:y val="4.5365503071280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'Challenge 2'!$D$1</c:f>
              <c:strCache>
                <c:ptCount val="1"/>
                <c:pt idx="0">
                  <c:v>1/v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240980291941985E-2"/>
                  <c:y val="2.08649974139370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'Challenge 2'!$C$2:$C$9</c:f>
              <c:numCache>
                <c:formatCode>0.000</c:formatCode>
                <c:ptCount val="8"/>
                <c:pt idx="0">
                  <c:v>0.05</c:v>
                </c:pt>
                <c:pt idx="1">
                  <c:v>0.04</c:v>
                </c:pt>
                <c:pt idx="2">
                  <c:v>3.3333333333333333E-2</c:v>
                </c:pt>
                <c:pt idx="3">
                  <c:v>2.8571428571428571E-2</c:v>
                </c:pt>
                <c:pt idx="4">
                  <c:v>2.5000000000000001E-2</c:v>
                </c:pt>
                <c:pt idx="5">
                  <c:v>2.2222222222222223E-2</c:v>
                </c:pt>
                <c:pt idx="6">
                  <c:v>0.02</c:v>
                </c:pt>
                <c:pt idx="7">
                  <c:v>1.8181818181818181E-2</c:v>
                </c:pt>
              </c:numCache>
            </c:numRef>
          </c:xVal>
          <c:yVal>
            <c:numRef>
              <c:f>'Challenge 2'!$D$2:$D$9</c:f>
              <c:numCache>
                <c:formatCode>0.000</c:formatCode>
                <c:ptCount val="8"/>
                <c:pt idx="0">
                  <c:v>1.5267175572519083E-2</c:v>
                </c:pt>
                <c:pt idx="1">
                  <c:v>2.5000000000000001E-2</c:v>
                </c:pt>
                <c:pt idx="2">
                  <c:v>3.2258064516129031E-2</c:v>
                </c:pt>
                <c:pt idx="3">
                  <c:v>3.7037037037037035E-2</c:v>
                </c:pt>
                <c:pt idx="4">
                  <c:v>0.04</c:v>
                </c:pt>
                <c:pt idx="5">
                  <c:v>4.3290043290043288E-2</c:v>
                </c:pt>
                <c:pt idx="6">
                  <c:v>4.6511627906976744E-2</c:v>
                </c:pt>
                <c:pt idx="7">
                  <c:v>4.878048780487805E-2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6-4F2E-ABC9-E81904797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071535"/>
        <c:axId val="930081135"/>
      </c:scatterChart>
      <c:valAx>
        <c:axId val="93007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1/u (cm^-1)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081135"/>
        <c:crosses val="autoZero"/>
        <c:crossBetween val="midCat"/>
      </c:valAx>
      <c:valAx>
        <c:axId val="93008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1/v (cm^-1)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07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Descartes'</a:t>
            </a:r>
            <a:r>
              <a:rPr lang="en-GB" b="1" baseline="0"/>
              <a:t> ray model of a spherical raindrop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5004097822781357"/>
          <c:y val="8.009782946195157E-2"/>
          <c:w val="0.5875373849507014"/>
          <c:h val="0.75093090347885316"/>
        </c:manualLayout>
      </c:layout>
      <c:lineChart>
        <c:grouping val="standard"/>
        <c:varyColors val="0"/>
        <c:ser>
          <c:idx val="0"/>
          <c:order val="0"/>
          <c:tx>
            <c:strRef>
              <c:f>'Challenge 11a'!$C$7</c:f>
              <c:strCache>
                <c:ptCount val="1"/>
                <c:pt idx="0">
                  <c:v>Primary Red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11a'!$C$8:$C$98</c:f>
              <c:numCache>
                <c:formatCode>0.00</c:formatCode>
                <c:ptCount val="91"/>
                <c:pt idx="0">
                  <c:v>0</c:v>
                </c:pt>
                <c:pt idx="1">
                  <c:v>1.0051927487739367</c:v>
                </c:pt>
                <c:pt idx="2">
                  <c:v>2.0099866694228714</c:v>
                </c:pt>
                <c:pt idx="3">
                  <c:v>3.013982437994482</c:v>
                </c:pt>
                <c:pt idx="4">
                  <c:v>4.0167797380723123</c:v>
                </c:pt>
                <c:pt idx="5">
                  <c:v>5.0179767625206289</c:v>
                </c:pt>
                <c:pt idx="6">
                  <c:v>6.017169712803824</c:v>
                </c:pt>
                <c:pt idx="7">
                  <c:v>7.0139522950754127</c:v>
                </c:pt>
                <c:pt idx="8">
                  <c:v>8.0079152122352966</c:v>
                </c:pt>
                <c:pt idx="9">
                  <c:v>8.9986456511582809</c:v>
                </c:pt>
                <c:pt idx="10">
                  <c:v>9.9857267643028074</c:v>
                </c:pt>
                <c:pt idx="11">
                  <c:v>10.968737144916126</c:v>
                </c:pt>
                <c:pt idx="12">
                  <c:v>11.947250295061593</c:v>
                </c:pt>
                <c:pt idx="13">
                  <c:v>12.92083408570516</c:v>
                </c:pt>
                <c:pt idx="14">
                  <c:v>13.88905020811179</c:v>
                </c:pt>
                <c:pt idx="15">
                  <c:v>14.851453615820667</c:v>
                </c:pt>
                <c:pt idx="16">
                  <c:v>15.807591956487229</c:v>
                </c:pt>
                <c:pt idx="17">
                  <c:v>16.757004992906197</c:v>
                </c:pt>
                <c:pt idx="18">
                  <c:v>17.699224012558446</c:v>
                </c:pt>
                <c:pt idx="19">
                  <c:v>18.633771225060386</c:v>
                </c:pt>
                <c:pt idx="20">
                  <c:v>19.560159146935078</c:v>
                </c:pt>
                <c:pt idx="21">
                  <c:v>20.477889973174243</c:v>
                </c:pt>
                <c:pt idx="22">
                  <c:v>21.386454935116404</c:v>
                </c:pt>
                <c:pt idx="23">
                  <c:v>22.285333644233603</c:v>
                </c:pt>
                <c:pt idx="24">
                  <c:v>23.173993421495979</c:v>
                </c:pt>
                <c:pt idx="25">
                  <c:v>24.051888612072972</c:v>
                </c:pt>
                <c:pt idx="26">
                  <c:v>24.918459885233077</c:v>
                </c:pt>
                <c:pt idx="27">
                  <c:v>25.773133519421521</c:v>
                </c:pt>
                <c:pt idx="28">
                  <c:v>26.615320672631427</c:v>
                </c:pt>
                <c:pt idx="29">
                  <c:v>27.444416638337032</c:v>
                </c:pt>
                <c:pt idx="30">
                  <c:v>28.259800087434073</c:v>
                </c:pt>
                <c:pt idx="31">
                  <c:v>29.060832296829446</c:v>
                </c:pt>
                <c:pt idx="32">
                  <c:v>29.846856365548106</c:v>
                </c:pt>
                <c:pt idx="33">
                  <c:v>30.617196419476059</c:v>
                </c:pt>
                <c:pt idx="34">
                  <c:v>31.371156806143176</c:v>
                </c:pt>
                <c:pt idx="35">
                  <c:v>32.108021281265295</c:v>
                </c:pt>
                <c:pt idx="36">
                  <c:v>32.827052189119186</c:v>
                </c:pt>
                <c:pt idx="37">
                  <c:v>33.527489639216896</c:v>
                </c:pt>
                <c:pt idx="38">
                  <c:v>34.208550682180643</c:v>
                </c:pt>
                <c:pt idx="39">
                  <c:v>34.869428488200612</c:v>
                </c:pt>
                <c:pt idx="40">
                  <c:v>35.509291531984616</c:v>
                </c:pt>
                <c:pt idx="41">
                  <c:v>36.127282788687737</c:v>
                </c:pt>
                <c:pt idx="42">
                  <c:v>36.722518945940692</c:v>
                </c:pt>
                <c:pt idx="43">
                  <c:v>37.294089637778512</c:v>
                </c:pt>
                <c:pt idx="44">
                  <c:v>37.841056707012953</c:v>
                </c:pt>
                <c:pt idx="45">
                  <c:v>38.362453503382085</c:v>
                </c:pt>
                <c:pt idx="46">
                  <c:v>38.857284225663165</c:v>
                </c:pt>
                <c:pt idx="47">
                  <c:v>39.324523316830039</c:v>
                </c:pt>
                <c:pt idx="48">
                  <c:v>39.763114922288196</c:v>
                </c:pt>
                <c:pt idx="49">
                  <c:v>40.171972422205727</c:v>
                </c:pt>
                <c:pt idx="50">
                  <c:v>40.549978049985299</c:v>
                </c:pt>
                <c:pt idx="51">
                  <c:v>40.895982609968257</c:v>
                </c:pt>
                <c:pt idx="52">
                  <c:v>41.2088053085171</c:v>
                </c:pt>
                <c:pt idx="53">
                  <c:v>41.487233713674271</c:v>
                </c:pt>
                <c:pt idx="54">
                  <c:v>41.730023859615443</c:v>
                </c:pt>
                <c:pt idx="55">
                  <c:v>41.935900513083027</c:v>
                </c:pt>
                <c:pt idx="56">
                  <c:v>42.10355761987438</c:v>
                </c:pt>
                <c:pt idx="57">
                  <c:v>42.231658950226176</c:v>
                </c:pt>
                <c:pt idx="58">
                  <c:v>42.318838962553656</c:v>
                </c:pt>
                <c:pt idx="59">
                  <c:v>42.363703905420181</c:v>
                </c:pt>
                <c:pt idx="60">
                  <c:v>42.364833177781549</c:v>
                </c:pt>
                <c:pt idx="61">
                  <c:v>42.32078096742444</c:v>
                </c:pt>
                <c:pt idx="62">
                  <c:v>42.230078187036725</c:v>
                </c:pt>
                <c:pt idx="63">
                  <c:v>42.091234726456889</c:v>
                </c:pt>
                <c:pt idx="64">
                  <c:v>41.902742038292729</c:v>
                </c:pt>
                <c:pt idx="65">
                  <c:v>41.663076072217592</c:v>
                </c:pt>
                <c:pt idx="66">
                  <c:v>41.370700570795719</c:v>
                </c:pt>
                <c:pt idx="67">
                  <c:v>41.024070736609048</c:v>
                </c:pt>
                <c:pt idx="68">
                  <c:v>40.621637276725096</c:v>
                </c:pt>
                <c:pt idx="69">
                  <c:v>40.16185082613265</c:v>
                </c:pt>
                <c:pt idx="70">
                  <c:v>39.643166746678844</c:v>
                </c:pt>
                <c:pt idx="71">
                  <c:v>39.064050292280797</c:v>
                </c:pt>
                <c:pt idx="72">
                  <c:v>38.422982124808527</c:v>
                </c:pt>
                <c:pt idx="73">
                  <c:v>37.718464158103245</c:v>
                </c:pt>
                <c:pt idx="74">
                  <c:v>36.949025700215657</c:v>
                </c:pt>
                <c:pt idx="75">
                  <c:v>36.113229856260261</c:v>
                </c:pt>
                <c:pt idx="76">
                  <c:v>35.209680146441769</c:v>
                </c:pt>
                <c:pt idx="77">
                  <c:v>34.23702728602953</c:v>
                </c:pt>
                <c:pt idx="78">
                  <c:v>33.193976066553034</c:v>
                </c:pt>
                <c:pt idx="79">
                  <c:v>32.07929227052216</c:v>
                </c:pt>
                <c:pt idx="80">
                  <c:v>30.891809545798708</c:v>
                </c:pt>
                <c:pt idx="81">
                  <c:v>29.630436160630552</c:v>
                </c:pt>
                <c:pt idx="82">
                  <c:v>28.294161556566024</c:v>
                </c:pt>
                <c:pt idx="83">
                  <c:v>26.882062614233519</c:v>
                </c:pt>
                <c:pt idx="84">
                  <c:v>25.393309546503275</c:v>
                </c:pt>
                <c:pt idx="85">
                  <c:v>23.827171335004607</c:v>
                </c:pt>
                <c:pt idx="86">
                  <c:v>22.18302062944494</c:v>
                </c:pt>
                <c:pt idx="87">
                  <c:v>20.460338034701948</c:v>
                </c:pt>
                <c:pt idx="88">
                  <c:v>18.65871571817226</c:v>
                </c:pt>
                <c:pt idx="89">
                  <c:v>16.777860279250149</c:v>
                </c:pt>
                <c:pt idx="90">
                  <c:v>14.817594833842918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1-47AE-9ECB-E5D9FD6B6196}"/>
            </c:ext>
          </c:extLst>
        </c:ser>
        <c:ser>
          <c:idx val="1"/>
          <c:order val="1"/>
          <c:tx>
            <c:strRef>
              <c:f>'Challenge 11a'!$D$7</c:f>
              <c:strCache>
                <c:ptCount val="1"/>
                <c:pt idx="0">
                  <c:v>Primary Orange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11a'!$D$8:$D$98</c:f>
              <c:numCache>
                <c:formatCode>0.00</c:formatCode>
                <c:ptCount val="91"/>
                <c:pt idx="0">
                  <c:v>0</c:v>
                </c:pt>
                <c:pt idx="1">
                  <c:v>1.0027110272331421</c:v>
                </c:pt>
                <c:pt idx="2">
                  <c:v>2.0050227032990779</c:v>
                </c:pt>
                <c:pt idx="3">
                  <c:v>3.0065351815745327</c:v>
                </c:pt>
                <c:pt idx="4">
                  <c:v>4.006847623719171</c:v>
                </c:pt>
                <c:pt idx="5">
                  <c:v>5.0055577018055537</c:v>
                </c:pt>
                <c:pt idx="6">
                  <c:v>6.0022610980375219</c:v>
                </c:pt>
                <c:pt idx="7">
                  <c:v>6.9965510012568828</c:v>
                </c:pt>
                <c:pt idx="8">
                  <c:v>7.9880175994418927</c:v>
                </c:pt>
                <c:pt idx="9">
                  <c:v>8.9762475674055757</c:v>
                </c:pt>
                <c:pt idx="10">
                  <c:v>9.9608235489079107</c:v>
                </c:pt>
                <c:pt idx="11">
                  <c:v>10.941323632403737</c:v>
                </c:pt>
                <c:pt idx="12">
                  <c:v>11.91732081965722</c:v>
                </c:pt>
                <c:pt idx="13">
                  <c:v>12.888382486465993</c:v>
                </c:pt>
                <c:pt idx="14">
                  <c:v>13.854069834752103</c:v>
                </c:pt>
                <c:pt idx="15">
                  <c:v>14.813937335294227</c:v>
                </c:pt>
                <c:pt idx="16">
                  <c:v>15.767532160396776</c:v>
                </c:pt>
                <c:pt idx="17">
                  <c:v>16.714393605816404</c:v>
                </c:pt>
                <c:pt idx="18">
                  <c:v>17.654052501296761</c:v>
                </c:pt>
                <c:pt idx="19">
                  <c:v>18.586030609097499</c:v>
                </c:pt>
                <c:pt idx="20">
                  <c:v>19.509840009945371</c:v>
                </c:pt>
                <c:pt idx="21">
                  <c:v>20.424982475885102</c:v>
                </c:pt>
                <c:pt idx="22">
                  <c:v>21.330948829564335</c:v>
                </c:pt>
                <c:pt idx="23">
                  <c:v>22.227218289554941</c:v>
                </c:pt>
                <c:pt idx="24">
                  <c:v>23.113257801389722</c:v>
                </c:pt>
                <c:pt idx="25">
                  <c:v>23.988521354083986</c:v>
                </c:pt>
                <c:pt idx="26">
                  <c:v>24.852449282015129</c:v>
                </c:pt>
                <c:pt idx="27">
                  <c:v>25.704467552150618</c:v>
                </c:pt>
                <c:pt idx="28">
                  <c:v>26.543987036752</c:v>
                </c:pt>
                <c:pt idx="29">
                  <c:v>27.370402771836055</c:v>
                </c:pt>
                <c:pt idx="30">
                  <c:v>28.18309320185017</c:v>
                </c:pt>
                <c:pt idx="31">
                  <c:v>28.981419411217772</c:v>
                </c:pt>
                <c:pt idx="32">
                  <c:v>29.764724343633802</c:v>
                </c:pt>
                <c:pt idx="33">
                  <c:v>30.532332010242982</c:v>
                </c:pt>
                <c:pt idx="34">
                  <c:v>31.283546688117227</c:v>
                </c:pt>
                <c:pt idx="35">
                  <c:v>32.017652110764416</c:v>
                </c:pt>
                <c:pt idx="36">
                  <c:v>32.733910652754503</c:v>
                </c:pt>
                <c:pt idx="37">
                  <c:v>33.43156251094085</c:v>
                </c:pt>
                <c:pt idx="38">
                  <c:v>34.109824885188857</c:v>
                </c:pt>
                <c:pt idx="39">
                  <c:v>34.767891162002968</c:v>
                </c:pt>
                <c:pt idx="40">
                  <c:v>35.404930104968713</c:v>
                </c:pt>
                <c:pt idx="41">
                  <c:v>36.020085056503646</c:v>
                </c:pt>
                <c:pt idx="42">
                  <c:v>36.612473156037325</c:v>
                </c:pt>
                <c:pt idx="43">
                  <c:v>37.181184580423079</c:v>
                </c:pt>
                <c:pt idx="44">
                  <c:v>37.725281813117377</c:v>
                </c:pt>
                <c:pt idx="45">
                  <c:v>38.243798949454259</c:v>
                </c:pt>
                <c:pt idx="46">
                  <c:v>38.735741046183477</c:v>
                </c:pt>
                <c:pt idx="47">
                  <c:v>39.200083524333365</c:v>
                </c:pt>
                <c:pt idx="48">
                  <c:v>39.635771635402335</c:v>
                </c:pt>
                <c:pt idx="49">
                  <c:v>40.041720001861364</c:v>
                </c:pt>
                <c:pt idx="50">
                  <c:v>40.416812243963989</c:v>
                </c:pt>
                <c:pt idx="51">
                  <c:v>40.75990070589998</c:v>
                </c:pt>
                <c:pt idx="52">
                  <c:v>41.069806295368664</c:v>
                </c:pt>
                <c:pt idx="53">
                  <c:v>41.34531845168857</c:v>
                </c:pt>
                <c:pt idx="54">
                  <c:v>41.585195258565733</c:v>
                </c:pt>
                <c:pt idx="55">
                  <c:v>41.788163718596394</c:v>
                </c:pt>
                <c:pt idx="56">
                  <c:v>41.952920207450916</c:v>
                </c:pt>
                <c:pt idx="57">
                  <c:v>42.078131126438848</c:v>
                </c:pt>
                <c:pt idx="58">
                  <c:v>42.162433772753786</c:v>
                </c:pt>
                <c:pt idx="59">
                  <c:v>42.204437447096353</c:v>
                </c:pt>
                <c:pt idx="60">
                  <c:v>42.202724818528594</c:v>
                </c:pt>
                <c:pt idx="61">
                  <c:v>42.155853566269485</c:v>
                </c:pt>
                <c:pt idx="62">
                  <c:v>42.062358317648659</c:v>
                </c:pt>
                <c:pt idx="63">
                  <c:v>41.920752900532591</c:v>
                </c:pt>
                <c:pt idx="64">
                  <c:v>41.729532927172386</c:v>
                </c:pt>
                <c:pt idx="65">
                  <c:v>41.487178724536847</c:v>
                </c:pt>
                <c:pt idx="66">
                  <c:v>41.19215862373909</c:v>
                </c:pt>
                <c:pt idx="67">
                  <c:v>40.842932618093954</c:v>
                </c:pt>
                <c:pt idx="68">
                  <c:v>40.437956395624639</c:v>
                </c:pt>
                <c:pt idx="69">
                  <c:v>39.975685747447073</c:v>
                </c:pt>
                <c:pt idx="70">
                  <c:v>39.454581348399614</c:v>
                </c:pt>
                <c:pt idx="71">
                  <c:v>38.87311390056729</c:v>
                </c:pt>
                <c:pt idx="72">
                  <c:v>38.229769624023191</c:v>
                </c:pt>
                <c:pt idx="73">
                  <c:v>37.523056072237807</c:v>
                </c:pt>
                <c:pt idx="74">
                  <c:v>36.751508242302549</c:v>
                </c:pt>
                <c:pt idx="75">
                  <c:v>35.913694942497131</c:v>
                </c:pt>
                <c:pt idx="76">
                  <c:v>35.008225371984906</c:v>
                </c:pt>
                <c:pt idx="77">
                  <c:v>34.03375585972438</c:v>
                </c:pt>
                <c:pt idx="78">
                  <c:v>32.988996702282776</c:v>
                </c:pt>
                <c:pt idx="79">
                  <c:v>31.872719033356077</c:v>
                </c:pt>
                <c:pt idx="80">
                  <c:v>30.683761651715685</c:v>
                </c:pt>
                <c:pt idx="81">
                  <c:v>29.421037729267653</c:v>
                </c:pt>
                <c:pt idx="82">
                  <c:v>28.083541317183943</c:v>
                </c:pt>
                <c:pt idx="83">
                  <c:v>26.670353565889343</c:v>
                </c:pt>
                <c:pt idx="84">
                  <c:v>25.180648574250512</c:v>
                </c:pt>
                <c:pt idx="85">
                  <c:v>23.613698784783537</c:v>
                </c:pt>
                <c:pt idx="86">
                  <c:v>21.968879845155584</c:v>
                </c:pt>
                <c:pt idx="87">
                  <c:v>20.245674861740042</c:v>
                </c:pt>
                <c:pt idx="88">
                  <c:v>18.443677978432845</c:v>
                </c:pt>
                <c:pt idx="89">
                  <c:v>16.562597223234576</c:v>
                </c:pt>
                <c:pt idx="90">
                  <c:v>14.602256576024274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1-47AE-9ECB-E5D9FD6B6196}"/>
            </c:ext>
          </c:extLst>
        </c:ser>
        <c:ser>
          <c:idx val="2"/>
          <c:order val="2"/>
          <c:tx>
            <c:strRef>
              <c:f>'Challenge 11a'!$E$7</c:f>
              <c:strCache>
                <c:ptCount val="1"/>
                <c:pt idx="0">
                  <c:v>Primary Yellow 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11a'!$E$8:$E$98</c:f>
              <c:numCache>
                <c:formatCode>0.00</c:formatCode>
                <c:ptCount val="91"/>
                <c:pt idx="0">
                  <c:v>0</c:v>
                </c:pt>
                <c:pt idx="1">
                  <c:v>1.0013590878310654</c:v>
                </c:pt>
                <c:pt idx="2">
                  <c:v>2.0023185404525154</c:v>
                </c:pt>
                <c:pt idx="3">
                  <c:v>3.0024782274027721</c:v>
                </c:pt>
                <c:pt idx="4">
                  <c:v>4.0014370269139246</c:v>
                </c:pt>
                <c:pt idx="5">
                  <c:v>4.9987923282533249</c:v>
                </c:pt>
                <c:pt idx="6">
                  <c:v>5.9941395316612045</c:v>
                </c:pt>
                <c:pt idx="7">
                  <c:v>6.9870715450867635</c:v>
                </c:pt>
                <c:pt idx="8">
                  <c:v>7.9771782769288713</c:v>
                </c:pt>
                <c:pt idx="9">
                  <c:v>8.9640461239921727</c:v>
                </c:pt>
                <c:pt idx="10">
                  <c:v>9.9472574538755083</c:v>
                </c:pt>
                <c:pt idx="11">
                  <c:v>10.92639008101709</c:v>
                </c:pt>
                <c:pt idx="12">
                  <c:v>11.901016735630868</c:v>
                </c:pt>
                <c:pt idx="13">
                  <c:v>12.870704524779924</c:v>
                </c:pt>
                <c:pt idx="14">
                  <c:v>13.835014384847348</c:v>
                </c:pt>
                <c:pt idx="15">
                  <c:v>14.793500524682834</c:v>
                </c:pt>
                <c:pt idx="16">
                  <c:v>15.745709858723956</c:v>
                </c:pt>
                <c:pt idx="17">
                  <c:v>16.691181429416766</c:v>
                </c:pt>
                <c:pt idx="18">
                  <c:v>17.629445818290129</c:v>
                </c:pt>
                <c:pt idx="19">
                  <c:v>18.560024545074718</c:v>
                </c:pt>
                <c:pt idx="20">
                  <c:v>19.482429454298298</c:v>
                </c:pt>
                <c:pt idx="21">
                  <c:v>20.396162088840207</c:v>
                </c:pt>
                <c:pt idx="22">
                  <c:v>21.300713049984168</c:v>
                </c:pt>
                <c:pt idx="23">
                  <c:v>22.195561343576586</c:v>
                </c:pt>
                <c:pt idx="24">
                  <c:v>23.080173711975334</c:v>
                </c:pt>
                <c:pt idx="25">
                  <c:v>23.954003951564118</c:v>
                </c:pt>
                <c:pt idx="26">
                  <c:v>24.816492215710937</c:v>
                </c:pt>
                <c:pt idx="27">
                  <c:v>25.667064303168104</c:v>
                </c:pt>
                <c:pt idx="28">
                  <c:v>26.50513093204745</c:v>
                </c:pt>
                <c:pt idx="29">
                  <c:v>27.330086999658235</c:v>
                </c:pt>
                <c:pt idx="30">
                  <c:v>28.141310828672246</c:v>
                </c:pt>
                <c:pt idx="31">
                  <c:v>28.93816340027827</c:v>
                </c:pt>
                <c:pt idx="32">
                  <c:v>29.719987575213324</c:v>
                </c:pt>
                <c:pt idx="33">
                  <c:v>30.486107303810712</c:v>
                </c:pt>
                <c:pt idx="34">
                  <c:v>31.235826826487255</c:v>
                </c:pt>
                <c:pt idx="35">
                  <c:v>31.968429866410133</c:v>
                </c:pt>
                <c:pt idx="36">
                  <c:v>32.683178816434776</c:v>
                </c:pt>
                <c:pt idx="37">
                  <c:v>33.379313922798602</c:v>
                </c:pt>
                <c:pt idx="38">
                  <c:v>34.056052468488147</c:v>
                </c:pt>
                <c:pt idx="39">
                  <c:v>34.712587959675332</c:v>
                </c:pt>
                <c:pt idx="40">
                  <c:v>35.348089319143725</c:v>
                </c:pt>
                <c:pt idx="41">
                  <c:v>35.961700091201635</c:v>
                </c:pt>
                <c:pt idx="42">
                  <c:v>36.552537663203125</c:v>
                </c:pt>
                <c:pt idx="43">
                  <c:v>37.119692509478881</c:v>
                </c:pt>
                <c:pt idx="44">
                  <c:v>37.662227464211199</c:v>
                </c:pt>
                <c:pt idx="45">
                  <c:v>38.17917703057401</c:v>
                </c:pt>
                <c:pt idx="46">
                  <c:v>38.669546734298876</c:v>
                </c:pt>
                <c:pt idx="47">
                  <c:v>39.132312530717059</c:v>
                </c:pt>
                <c:pt idx="48">
                  <c:v>39.566420275263994</c:v>
                </c:pt>
                <c:pt idx="49">
                  <c:v>39.970785268409827</c:v>
                </c:pt>
                <c:pt idx="50">
                  <c:v>40.344291886987293</c:v>
                </c:pt>
                <c:pt idx="51">
                  <c:v>40.685793314919977</c:v>
                </c:pt>
                <c:pt idx="52">
                  <c:v>40.994111387391683</c:v>
                </c:pt>
                <c:pt idx="53">
                  <c:v>41.268036563527744</c:v>
                </c:pt>
                <c:pt idx="54">
                  <c:v>41.506328043659096</c:v>
                </c:pt>
                <c:pt idx="55">
                  <c:v>41.707714048184187</c:v>
                </c:pt>
                <c:pt idx="56">
                  <c:v>41.870892275907835</c:v>
                </c:pt>
                <c:pt idx="57">
                  <c:v>41.994530560478694</c:v>
                </c:pt>
                <c:pt idx="58">
                  <c:v>42.077267744137345</c:v>
                </c:pt>
                <c:pt idx="59">
                  <c:v>42.117714788378379</c:v>
                </c:pt>
                <c:pt idx="60">
                  <c:v>42.114456141274445</c:v>
                </c:pt>
                <c:pt idx="61">
                  <c:v>42.066051381060703</c:v>
                </c:pt>
                <c:pt idx="62">
                  <c:v>41.971037155074896</c:v>
                </c:pt>
                <c:pt idx="63">
                  <c:v>41.827929432243423</c:v>
                </c:pt>
                <c:pt idx="64">
                  <c:v>41.635226085930782</c:v>
                </c:pt>
                <c:pt idx="65">
                  <c:v>41.391409822084881</c:v>
                </c:pt>
                <c:pt idx="66">
                  <c:v>41.094951465155248</c:v>
                </c:pt>
                <c:pt idx="67">
                  <c:v>40.744313611193206</c:v>
                </c:pt>
                <c:pt idx="68">
                  <c:v>40.337954653835482</c:v>
                </c:pt>
                <c:pt idx="69">
                  <c:v>39.874333184491746</c:v>
                </c:pt>
                <c:pt idx="70">
                  <c:v>39.35191276301461</c:v>
                </c:pt>
                <c:pt idx="71">
                  <c:v>38.76916704943622</c:v>
                </c:pt>
                <c:pt idx="72">
                  <c:v>38.124585281052589</c:v>
                </c:pt>
                <c:pt idx="73">
                  <c:v>37.416678072303711</c:v>
                </c:pt>
                <c:pt idx="74">
                  <c:v>36.64398350762562</c:v>
                </c:pt>
                <c:pt idx="75">
                  <c:v>35.805073489881238</c:v>
                </c:pt>
                <c:pt idx="76">
                  <c:v>34.898560299275147</c:v>
                </c:pt>
                <c:pt idx="77">
                  <c:v>33.923103310012749</c:v>
                </c:pt>
                <c:pt idx="78">
                  <c:v>32.877415804611019</c:v>
                </c:pt>
                <c:pt idx="79">
                  <c:v>31.760271818938605</c:v>
                </c:pt>
                <c:pt idx="80">
                  <c:v>30.570512945026337</c:v>
                </c:pt>
                <c:pt idx="81">
                  <c:v>29.307055013697351</c:v>
                </c:pt>
                <c:pt idx="82">
                  <c:v>27.968894575379665</c:v>
                </c:pt>
                <c:pt idx="83">
                  <c:v>26.555115095314591</c:v>
                </c:pt>
                <c:pt idx="84">
                  <c:v>25.064892778956533</c:v>
                </c:pt>
                <c:pt idx="85">
                  <c:v>23.497501944835619</c:v>
                </c:pt>
                <c:pt idx="86">
                  <c:v>21.852319865606006</c:v>
                </c:pt>
                <c:pt idx="87">
                  <c:v>20.128831003464029</c:v>
                </c:pt>
                <c:pt idx="88">
                  <c:v>18.326630573537329</c:v>
                </c:pt>
                <c:pt idx="89">
                  <c:v>16.445427378086237</c:v>
                </c:pt>
                <c:pt idx="90">
                  <c:v>14.485045865226141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31-47AE-9ECB-E5D9FD6B6196}"/>
            </c:ext>
          </c:extLst>
        </c:ser>
        <c:ser>
          <c:idx val="3"/>
          <c:order val="3"/>
          <c:tx>
            <c:strRef>
              <c:f>'Challenge 11a'!$F$7</c:f>
              <c:strCache>
                <c:ptCount val="1"/>
                <c:pt idx="0">
                  <c:v>Primary Green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11a'!$F$8:$F$98</c:f>
              <c:numCache>
                <c:formatCode>0.00</c:formatCode>
                <c:ptCount val="91"/>
                <c:pt idx="0">
                  <c:v>0</c:v>
                </c:pt>
                <c:pt idx="1">
                  <c:v>0.99888369158394141</c:v>
                </c:pt>
                <c:pt idx="2">
                  <c:v>1.997367229502248</c:v>
                </c:pt>
                <c:pt idx="3">
                  <c:v>2.9950499652144469</c:v>
                </c:pt>
                <c:pt idx="4">
                  <c:v>3.991530259632583</c:v>
                </c:pt>
                <c:pt idx="5">
                  <c:v>4.9864049858537474</c:v>
                </c:pt>
                <c:pt idx="6">
                  <c:v>5.9792690295024791</c:v>
                </c:pt>
                <c:pt idx="7">
                  <c:v>6.9697147858903108</c:v>
                </c:pt>
                <c:pt idx="8">
                  <c:v>7.9573316532034006</c:v>
                </c:pt>
                <c:pt idx="9">
                  <c:v>8.9417055209340326</c:v>
                </c:pt>
                <c:pt idx="10">
                  <c:v>9.9224182527780158</c:v>
                </c:pt>
                <c:pt idx="11">
                  <c:v>10.899047163227912</c:v>
                </c:pt>
                <c:pt idx="12">
                  <c:v>11.871164487101879</c:v>
                </c:pt>
                <c:pt idx="13">
                  <c:v>12.838336841259796</c:v>
                </c:pt>
                <c:pt idx="14">
                  <c:v>13.800124677773354</c:v>
                </c:pt>
                <c:pt idx="15">
                  <c:v>14.756081727834456</c:v>
                </c:pt>
                <c:pt idx="16">
                  <c:v>15.705754435707703</c:v>
                </c:pt>
                <c:pt idx="17">
                  <c:v>16.648681382058591</c:v>
                </c:pt>
                <c:pt idx="18">
                  <c:v>17.584392696019194</c:v>
                </c:pt>
                <c:pt idx="19">
                  <c:v>18.512409455389978</c:v>
                </c:pt>
                <c:pt idx="20">
                  <c:v>19.432243074417748</c:v>
                </c:pt>
                <c:pt idx="21">
                  <c:v>20.343394678640855</c:v>
                </c:pt>
                <c:pt idx="22">
                  <c:v>21.245354466350321</c:v>
                </c:pt>
                <c:pt idx="23">
                  <c:v>22.137601056283131</c:v>
                </c:pt>
                <c:pt idx="24">
                  <c:v>23.019600821242975</c:v>
                </c:pt>
                <c:pt idx="25">
                  <c:v>23.89080720743371</c:v>
                </c:pt>
                <c:pt idx="26">
                  <c:v>24.750660039394873</c:v>
                </c:pt>
                <c:pt idx="27">
                  <c:v>25.598584810548502</c:v>
                </c:pt>
                <c:pt idx="28">
                  <c:v>26.433991959501967</c:v>
                </c:pt>
                <c:pt idx="29">
                  <c:v>27.256276132406839</c:v>
                </c:pt>
                <c:pt idx="30">
                  <c:v>28.064815431850477</c:v>
                </c:pt>
                <c:pt idx="31">
                  <c:v>28.858970652955293</c:v>
                </c:pt>
                <c:pt idx="32">
                  <c:v>29.638084507585702</c:v>
                </c:pt>
                <c:pt idx="33">
                  <c:v>30.401480837815782</c:v>
                </c:pt>
                <c:pt idx="34">
                  <c:v>31.148463820092715</c:v>
                </c:pt>
                <c:pt idx="35">
                  <c:v>31.878317161848642</c:v>
                </c:pt>
                <c:pt idx="36">
                  <c:v>32.590303292664927</c:v>
                </c:pt>
                <c:pt idx="37">
                  <c:v>33.283662552483747</c:v>
                </c:pt>
                <c:pt idx="38">
                  <c:v>33.957612379796089</c:v>
                </c:pt>
                <c:pt idx="39">
                  <c:v>34.611346503209518</c:v>
                </c:pt>
                <c:pt idx="40">
                  <c:v>35.244034140324715</c:v>
                </c:pt>
                <c:pt idx="41">
                  <c:v>35.854819208421347</c:v>
                </c:pt>
                <c:pt idx="42">
                  <c:v>36.442819552077651</c:v>
                </c:pt>
                <c:pt idx="43">
                  <c:v>37.007126193523405</c:v>
                </c:pt>
                <c:pt idx="44">
                  <c:v>37.546802612256656</c:v>
                </c:pt>
                <c:pt idx="45">
                  <c:v>38.06088406123385</c:v>
                </c:pt>
                <c:pt idx="46">
                  <c:v>38.548376927780481</c:v>
                </c:pt>
                <c:pt idx="47">
                  <c:v>39.008258148249411</c:v>
                </c:pt>
                <c:pt idx="48">
                  <c:v>39.439474686385381</c:v>
                </c:pt>
                <c:pt idx="49">
                  <c:v>39.840943086321147</c:v>
                </c:pt>
                <c:pt idx="50">
                  <c:v>40.211549112130342</c:v>
                </c:pt>
                <c:pt idx="51">
                  <c:v>40.55014748688285</c:v>
                </c:pt>
                <c:pt idx="52">
                  <c:v>40.855561745175066</c:v>
                </c:pt>
                <c:pt idx="53">
                  <c:v>41.12658421412354</c:v>
                </c:pt>
                <c:pt idx="54">
                  <c:v>41.361976138798866</c:v>
                </c:pt>
                <c:pt idx="55">
                  <c:v>41.560467969004378</c:v>
                </c:pt>
                <c:pt idx="56">
                  <c:v>41.720759825153351</c:v>
                </c:pt>
                <c:pt idx="57">
                  <c:v>41.841522161725464</c:v>
                </c:pt>
                <c:pt idx="58">
                  <c:v>41.921396647356346</c:v>
                </c:pt>
                <c:pt idx="59">
                  <c:v>41.958997280989252</c:v>
                </c:pt>
                <c:pt idx="60">
                  <c:v>41.952911763647563</c:v>
                </c:pt>
                <c:pt idx="61">
                  <c:v>41.901703145219528</c:v>
                </c:pt>
                <c:pt idx="62">
                  <c:v>41.803911765135922</c:v>
                </c:pt>
                <c:pt idx="63">
                  <c:v>41.6580575048973</c:v>
                </c:pt>
                <c:pt idx="64">
                  <c:v>41.46264236903653</c:v>
                </c:pt>
                <c:pt idx="65">
                  <c:v>41.216153409206214</c:v>
                </c:pt>
                <c:pt idx="66">
                  <c:v>40.917066003630651</c:v>
                </c:pt>
                <c:pt idx="67">
                  <c:v>40.563847501102856</c:v>
                </c:pt>
                <c:pt idx="68">
                  <c:v>40.154961235009921</c:v>
                </c:pt>
                <c:pt idx="69">
                  <c:v>39.688870908517316</c:v>
                </c:pt>
                <c:pt idx="70">
                  <c:v>39.164045347029457</c:v>
                </c:pt>
                <c:pt idx="71">
                  <c:v>38.578963608389728</c:v>
                </c:pt>
                <c:pt idx="72">
                  <c:v>37.932120435033312</c:v>
                </c:pt>
                <c:pt idx="73">
                  <c:v>37.222032025531576</c:v>
                </c:pt>
                <c:pt idx="74">
                  <c:v>36.447242095765091</c:v>
                </c:pt>
                <c:pt idx="75">
                  <c:v>35.606328192471381</c:v>
                </c:pt>
                <c:pt idx="76">
                  <c:v>34.697908214294159</c:v>
                </c:pt>
                <c:pt idx="77">
                  <c:v>33.720647087910123</c:v>
                </c:pt>
                <c:pt idx="78">
                  <c:v>32.673263539543086</c:v>
                </c:pt>
                <c:pt idx="79">
                  <c:v>31.55453689544143</c:v>
                </c:pt>
                <c:pt idx="80">
                  <c:v>30.363313838942048</c:v>
                </c:pt>
                <c:pt idx="81">
                  <c:v>29.098515046833711</c:v>
                </c:pt>
                <c:pt idx="82">
                  <c:v>27.759141624112686</c:v>
                </c:pt>
                <c:pt idx="83">
                  <c:v>26.344281254125491</c:v>
                </c:pt>
                <c:pt idx="84">
                  <c:v>24.853113980710276</c:v>
                </c:pt>
                <c:pt idx="85">
                  <c:v>23.284917540432929</c:v>
                </c:pt>
                <c:pt idx="86">
                  <c:v>21.639072166452706</c:v>
                </c:pt>
                <c:pt idx="87">
                  <c:v>19.91506479097535</c:v>
                </c:pt>
                <c:pt idx="88">
                  <c:v>18.112492580600019</c:v>
                </c:pt>
                <c:pt idx="89">
                  <c:v>16.231065748022331</c:v>
                </c:pt>
                <c:pt idx="90">
                  <c:v>14.27060959430716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31-47AE-9ECB-E5D9FD6B6196}"/>
            </c:ext>
          </c:extLst>
        </c:ser>
        <c:ser>
          <c:idx val="4"/>
          <c:order val="4"/>
          <c:tx>
            <c:strRef>
              <c:f>'Challenge 11a'!$G$7</c:f>
              <c:strCache>
                <c:ptCount val="1"/>
                <c:pt idx="0">
                  <c:v>Primary Cyan</c:v>
                </c:pt>
              </c:strCache>
            </c:strRef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11a'!$G$8:$G$98</c:f>
              <c:numCache>
                <c:formatCode>0.00</c:formatCode>
                <c:ptCount val="91"/>
                <c:pt idx="0">
                  <c:v>0</c:v>
                </c:pt>
                <c:pt idx="1">
                  <c:v>0.99618791214245173</c:v>
                </c:pt>
                <c:pt idx="2">
                  <c:v>1.9919751083941328</c:v>
                </c:pt>
                <c:pt idx="3">
                  <c:v>2.9869603784051311</c:v>
                </c:pt>
                <c:pt idx="4">
                  <c:v>3.9807415221144353</c:v>
                </c:pt>
                <c:pt idx="5">
                  <c:v>4.972914852913199</c:v>
                </c:pt>
                <c:pt idx="6">
                  <c:v>5.9630746984329654</c:v>
                </c:pt>
                <c:pt idx="7">
                  <c:v>6.9508128981713391</c:v>
                </c:pt>
                <c:pt idx="8">
                  <c:v>7.9357182971713094</c:v>
                </c:pt>
                <c:pt idx="9">
                  <c:v>8.9173762349754284</c:v>
                </c:pt>
                <c:pt idx="10">
                  <c:v>9.8953680290825119</c:v>
                </c:pt>
                <c:pt idx="11">
                  <c:v>10.869270452142615</c:v>
                </c:pt>
                <c:pt idx="12">
                  <c:v>11.838655202135939</c:v>
                </c:pt>
                <c:pt idx="13">
                  <c:v>12.803088364793894</c:v>
                </c:pt>
                <c:pt idx="14">
                  <c:v>13.7621298675354</c:v>
                </c:pt>
                <c:pt idx="15">
                  <c:v>14.71533292420964</c:v>
                </c:pt>
                <c:pt idx="16">
                  <c:v>15.662243469958575</c:v>
                </c:pt>
                <c:pt idx="17">
                  <c:v>16.602399585537874</c:v>
                </c:pt>
                <c:pt idx="18">
                  <c:v>17.535330910466826</c:v>
                </c:pt>
                <c:pt idx="19">
                  <c:v>18.460558044413574</c:v>
                </c:pt>
                <c:pt idx="20">
                  <c:v>19.377591936265048</c:v>
                </c:pt>
                <c:pt idx="21">
                  <c:v>20.285933260381732</c:v>
                </c:pt>
                <c:pt idx="22">
                  <c:v>21.185071779596001</c:v>
                </c:pt>
                <c:pt idx="23">
                  <c:v>22.074485694580332</c:v>
                </c:pt>
                <c:pt idx="24">
                  <c:v>22.953640979291592</c:v>
                </c:pt>
                <c:pt idx="25">
                  <c:v>23.82199070228782</c:v>
                </c:pt>
                <c:pt idx="26">
                  <c:v>24.678974333819028</c:v>
                </c:pt>
                <c:pt idx="27">
                  <c:v>25.524017038712657</c:v>
                </c:pt>
                <c:pt idx="28">
                  <c:v>26.356528955211942</c:v>
                </c:pt>
                <c:pt idx="29">
                  <c:v>27.175904460079835</c:v>
                </c:pt>
                <c:pt idx="30">
                  <c:v>27.981521420458279</c:v>
                </c:pt>
                <c:pt idx="31">
                  <c:v>28.772740433172146</c:v>
                </c:pt>
                <c:pt idx="32">
                  <c:v>29.548904052390881</c:v>
                </c:pt>
                <c:pt idx="33">
                  <c:v>30.30933600681513</c:v>
                </c:pt>
                <c:pt idx="34">
                  <c:v>31.053340407836856</c:v>
                </c:pt>
                <c:pt idx="35">
                  <c:v>31.780200950439152</c:v>
                </c:pt>
                <c:pt idx="36">
                  <c:v>32.489180108952212</c:v>
                </c:pt>
                <c:pt idx="37">
                  <c:v>33.17951833017284</c:v>
                </c:pt>
                <c:pt idx="38">
                  <c:v>33.85043322678662</c:v>
                </c:pt>
                <c:pt idx="39">
                  <c:v>34.501118774506736</c:v>
                </c:pt>
                <c:pt idx="40">
                  <c:v>35.13074451686434</c:v>
                </c:pt>
                <c:pt idx="41">
                  <c:v>35.738454782157348</c:v>
                </c:pt>
                <c:pt idx="42">
                  <c:v>36.323367917683157</c:v>
                </c:pt>
                <c:pt idx="43">
                  <c:v>36.884575547054098</c:v>
                </c:pt>
                <c:pt idx="44">
                  <c:v>37.421141857119281</c:v>
                </c:pt>
                <c:pt idx="45">
                  <c:v>37.932102921792591</c:v>
                </c:pt>
                <c:pt idx="46">
                  <c:v>38.416466070915618</c:v>
                </c:pt>
                <c:pt idx="47">
                  <c:v>38.873209313160203</c:v>
                </c:pt>
                <c:pt idx="48">
                  <c:v>39.301280822896302</c:v>
                </c:pt>
                <c:pt idx="49">
                  <c:v>39.699598501910089</c:v>
                </c:pt>
                <c:pt idx="50">
                  <c:v>40.0670496278467</c:v>
                </c:pt>
                <c:pt idx="51">
                  <c:v>40.402490602260741</c:v>
                </c:pt>
                <c:pt idx="52">
                  <c:v>40.704746812172317</c:v>
                </c:pt>
                <c:pt idx="53">
                  <c:v>40.972612620028315</c:v>
                </c:pt>
                <c:pt idx="54">
                  <c:v>41.204851497942457</c:v>
                </c:pt>
                <c:pt idx="55">
                  <c:v>41.400196323000102</c:v>
                </c:pt>
                <c:pt idx="56">
                  <c:v>41.557349851244709</c:v>
                </c:pt>
                <c:pt idx="57">
                  <c:v>41.674985388673377</c:v>
                </c:pt>
                <c:pt idx="58">
                  <c:v>41.751747678126037</c:v>
                </c:pt>
                <c:pt idx="59">
                  <c:v>41.786254021306547</c:v>
                </c:pt>
                <c:pt idx="60">
                  <c:v>41.777095655290594</c:v>
                </c:pt>
                <c:pt idx="61">
                  <c:v>41.722839402689999</c:v>
                </c:pt>
                <c:pt idx="62">
                  <c:v>41.622029614117821</c:v>
                </c:pt>
                <c:pt idx="63">
                  <c:v>41.473190420665929</c:v>
                </c:pt>
                <c:pt idx="64">
                  <c:v>41.274828312723855</c:v>
                </c:pt>
                <c:pt idx="65">
                  <c:v>41.02543505957226</c:v>
                </c:pt>
                <c:pt idx="66">
                  <c:v>40.723490981733676</c:v>
                </c:pt>
                <c:pt idx="67">
                  <c:v>40.367468585014166</c:v>
                </c:pt>
                <c:pt idx="68">
                  <c:v>39.955836561488809</c:v>
                </c:pt>
                <c:pt idx="69">
                  <c:v>39.487064158355082</c:v>
                </c:pt>
                <c:pt idx="70">
                  <c:v>38.95962591060001</c:v>
                </c:pt>
                <c:pt idx="71">
                  <c:v>38.372006727818075</c:v>
                </c:pt>
                <c:pt idx="72">
                  <c:v>37.722707319320733</c:v>
                </c:pt>
                <c:pt idx="73">
                  <c:v>37.010249934968044</c:v>
                </c:pt>
                <c:pt idx="74">
                  <c:v>36.233184392029358</c:v>
                </c:pt>
                <c:pt idx="75">
                  <c:v>35.39009435096969</c:v>
                </c:pt>
                <c:pt idx="76">
                  <c:v>34.479603795532427</c:v>
                </c:pt>
                <c:pt idx="77">
                  <c:v>33.500383665033326</c:v>
                </c:pt>
                <c:pt idx="78">
                  <c:v>32.45115857961477</c:v>
                </c:pt>
                <c:pt idx="79">
                  <c:v>31.330713592571783</c:v>
                </c:pt>
                <c:pt idx="80">
                  <c:v>30.137900898003778</c:v>
                </c:pt>
                <c:pt idx="81">
                  <c:v>28.871646417219438</c:v>
                </c:pt>
                <c:pt idx="82">
                  <c:v>27.530956183774236</c:v>
                </c:pt>
                <c:pt idx="83">
                  <c:v>26.114922444979271</c:v>
                </c:pt>
                <c:pt idx="84">
                  <c:v>24.622729397368687</c:v>
                </c:pt>
                <c:pt idx="85">
                  <c:v>23.053658475111206</c:v>
                </c:pt>
                <c:pt idx="86">
                  <c:v>21.407093113773129</c:v>
                </c:pt>
                <c:pt idx="87">
                  <c:v>19.682522917222713</c:v>
                </c:pt>
                <c:pt idx="88">
                  <c:v>17.879547162742142</c:v>
                </c:pt>
                <c:pt idx="89">
                  <c:v>15.997877588474125</c:v>
                </c:pt>
                <c:pt idx="90">
                  <c:v>14.037340417961246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31-47AE-9ECB-E5D9FD6B6196}"/>
            </c:ext>
          </c:extLst>
        </c:ser>
        <c:ser>
          <c:idx val="5"/>
          <c:order val="5"/>
          <c:tx>
            <c:strRef>
              <c:f>'Challenge 11a'!$H$7</c:f>
              <c:strCache>
                <c:ptCount val="1"/>
                <c:pt idx="0">
                  <c:v>Primary Blue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11a'!$H$8:$H$98</c:f>
              <c:numCache>
                <c:formatCode>0.00</c:formatCode>
                <c:ptCount val="91"/>
                <c:pt idx="0">
                  <c:v>0</c:v>
                </c:pt>
                <c:pt idx="1">
                  <c:v>0.99349697510712565</c:v>
                </c:pt>
                <c:pt idx="2">
                  <c:v>1.9865926755899288</c:v>
                </c:pt>
                <c:pt idx="3">
                  <c:v>2.9788853327850635</c:v>
                </c:pt>
                <c:pt idx="4">
                  <c:v>3.9699721891632951</c:v>
                </c:pt>
                <c:pt idx="5">
                  <c:v>4.9594490019278599</c:v>
                </c:pt>
                <c:pt idx="6">
                  <c:v>5.9469095442529145</c:v>
                </c:pt>
                <c:pt idx="7">
                  <c:v>6.9319451033796184</c:v>
                </c:pt>
                <c:pt idx="8">
                  <c:v>7.9141439747914113</c:v>
                </c:pt>
                <c:pt idx="9">
                  <c:v>8.8930909516951147</c:v>
                </c:pt>
                <c:pt idx="10">
                  <c:v>9.868366809040964</c:v>
                </c:pt>
                <c:pt idx="11">
                  <c:v>10.839547781323432</c:v>
                </c:pt>
                <c:pt idx="12">
                  <c:v>11.806205033414017</c:v>
                </c:pt>
                <c:pt idx="13">
                  <c:v>12.767904123691103</c:v>
                </c:pt>
                <c:pt idx="14">
                  <c:v>13.724204458745952</c:v>
                </c:pt>
                <c:pt idx="15">
                  <c:v>14.674658738963366</c:v>
                </c:pt>
                <c:pt idx="16">
                  <c:v>15.618812394297144</c:v>
                </c:pt>
                <c:pt idx="17">
                  <c:v>16.556203009587009</c:v>
                </c:pt>
                <c:pt idx="18">
                  <c:v>17.486359738795066</c:v>
                </c:pt>
                <c:pt idx="19">
                  <c:v>18.408802707576882</c:v>
                </c:pt>
                <c:pt idx="20">
                  <c:v>19.323042403645175</c:v>
                </c:pt>
                <c:pt idx="21">
                  <c:v>20.228579054435741</c:v>
                </c:pt>
                <c:pt idx="22">
                  <c:v>21.124901991643569</c:v>
                </c:pt>
                <c:pt idx="23">
                  <c:v>22.011489002266458</c:v>
                </c:pt>
                <c:pt idx="24">
                  <c:v>22.887805665872463</c:v>
                </c:pt>
                <c:pt idx="25">
                  <c:v>23.753304677898797</c:v>
                </c:pt>
                <c:pt idx="26">
                  <c:v>24.607425158895623</c:v>
                </c:pt>
                <c:pt idx="27">
                  <c:v>25.449591949747557</c:v>
                </c:pt>
                <c:pt idx="28">
                  <c:v>26.27921489304309</c:v>
                </c:pt>
                <c:pt idx="29">
                  <c:v>27.095688100918082</c:v>
                </c:pt>
                <c:pt idx="30">
                  <c:v>27.898389209876228</c:v>
                </c:pt>
                <c:pt idx="31">
                  <c:v>28.686678623289041</c:v>
                </c:pt>
                <c:pt idx="32">
                  <c:v>29.459898742502062</c:v>
                </c:pt>
                <c:pt idx="33">
                  <c:v>30.217373187728512</c:v>
                </c:pt>
                <c:pt idx="34">
                  <c:v>30.958406010191723</c:v>
                </c:pt>
                <c:pt idx="35">
                  <c:v>31.68228089729638</c:v>
                </c:pt>
                <c:pt idx="36">
                  <c:v>32.388260372956836</c:v>
                </c:pt>
                <c:pt idx="37">
                  <c:v>33.075584995602441</c:v>
                </c:pt>
                <c:pt idx="38">
                  <c:v>33.74347255680884</c:v>
                </c:pt>
                <c:pt idx="39">
                  <c:v>34.391117283978545</c:v>
                </c:pt>
                <c:pt idx="40">
                  <c:v>35.017689051013079</c:v>
                </c:pt>
                <c:pt idx="41">
                  <c:v>35.622332601488068</c:v>
                </c:pt>
                <c:pt idx="42">
                  <c:v>36.204166789457958</c:v>
                </c:pt>
                <c:pt idx="43">
                  <c:v>36.76228384368838</c:v>
                </c:pt>
                <c:pt idx="44">
                  <c:v>37.295748661832732</c:v>
                </c:pt>
                <c:pt idx="45">
                  <c:v>37.803598141841718</c:v>
                </c:pt>
                <c:pt idx="46">
                  <c:v>38.284840558717406</c:v>
                </c:pt>
                <c:pt idx="47">
                  <c:v>38.738454995592207</c:v>
                </c:pt>
                <c:pt idx="48">
                  <c:v>39.163390839027187</c:v>
                </c:pt>
                <c:pt idx="49">
                  <c:v>39.558567349372282</c:v>
                </c:pt>
                <c:pt idx="50">
                  <c:v>39.922873318013245</c:v>
                </c:pt>
                <c:pt idx="51">
                  <c:v>40.2551668243253</c:v>
                </c:pt>
                <c:pt idx="52">
                  <c:v>40.554275106156496</c:v>
                </c:pt>
                <c:pt idx="53">
                  <c:v>40.818994558652975</c:v>
                </c:pt>
                <c:pt idx="54">
                  <c:v>41.048090877195989</c:v>
                </c:pt>
                <c:pt idx="55">
                  <c:v>41.240299361118161</c:v>
                </c:pt>
                <c:pt idx="56">
                  <c:v>41.394325395681278</c:v>
                </c:pt>
                <c:pt idx="57">
                  <c:v>41.508845130490528</c:v>
                </c:pt>
                <c:pt idx="58">
                  <c:v>41.582506373060028</c:v>
                </c:pt>
                <c:pt idx="59">
                  <c:v>41.613929716581595</c:v>
                </c:pt>
                <c:pt idx="60">
                  <c:v>41.601709921047728</c:v>
                </c:pt>
                <c:pt idx="61">
                  <c:v>41.544417566679329</c:v>
                </c:pt>
                <c:pt idx="62">
                  <c:v>41.440600998069897</c:v>
                </c:pt>
                <c:pt idx="63">
                  <c:v>41.288788576513895</c:v>
                </c:pt>
                <c:pt idx="64">
                  <c:v>41.087491256597218</c:v>
                </c:pt>
                <c:pt idx="65">
                  <c:v>40.83520550122725</c:v>
                </c:pt>
                <c:pt idx="66">
                  <c:v>40.530416546835085</c:v>
                </c:pt>
                <c:pt idx="67">
                  <c:v>40.171602027438496</c:v>
                </c:pt>
                <c:pt idx="68">
                  <c:v>39.757235962593313</c:v>
                </c:pt>
                <c:pt idx="69">
                  <c:v>39.285793109954255</c:v>
                </c:pt>
                <c:pt idx="70">
                  <c:v>38.755753678225659</c:v>
                </c:pt>
                <c:pt idx="71">
                  <c:v>38.165608390713146</c:v>
                </c:pt>
                <c:pt idx="72">
                  <c:v>37.513863883549533</c:v>
                </c:pt>
                <c:pt idx="73">
                  <c:v>36.799048416022003</c:v>
                </c:pt>
                <c:pt idx="74">
                  <c:v>36.01971786337424</c:v>
                </c:pt>
                <c:pt idx="75">
                  <c:v>35.174461955135428</c:v>
                </c:pt>
                <c:pt idx="76">
                  <c:v>34.261910714587884</c:v>
                </c:pt>
                <c:pt idx="77">
                  <c:v>33.280741047626066</c:v>
                </c:pt>
                <c:pt idx="78">
                  <c:v>32.229683422190192</c:v>
                </c:pt>
                <c:pt idx="79">
                  <c:v>31.107528572919108</c:v>
                </c:pt>
                <c:pt idx="80">
                  <c:v>29.913134159896572</c:v>
                </c:pt>
                <c:pt idx="81">
                  <c:v>28.645431305627397</c:v>
                </c:pt>
                <c:pt idx="82">
                  <c:v>27.303430930899253</c:v>
                </c:pt>
                <c:pt idx="83">
                  <c:v>25.886229808199971</c:v>
                </c:pt>
                <c:pt idx="84">
                  <c:v>24.393016251043775</c:v>
                </c:pt>
                <c:pt idx="85">
                  <c:v>22.823075359066763</c:v>
                </c:pt>
                <c:pt idx="86">
                  <c:v>21.175793742161488</c:v>
                </c:pt>
                <c:pt idx="87">
                  <c:v>19.450663652256651</c:v>
                </c:pt>
                <c:pt idx="88">
                  <c:v>17.647286458559932</c:v>
                </c:pt>
                <c:pt idx="89">
                  <c:v>15.765375411043948</c:v>
                </c:pt>
                <c:pt idx="90">
                  <c:v>13.804757647470211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31-47AE-9ECB-E5D9FD6B6196}"/>
            </c:ext>
          </c:extLst>
        </c:ser>
        <c:ser>
          <c:idx val="6"/>
          <c:order val="6"/>
          <c:tx>
            <c:strRef>
              <c:f>'Challenge 11a'!$I$7</c:f>
              <c:strCache>
                <c:ptCount val="1"/>
                <c:pt idx="0">
                  <c:v>Primary Violet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'Challenge 11a'!$I$8:$I$98</c:f>
              <c:numCache>
                <c:formatCode>0.00</c:formatCode>
                <c:ptCount val="91"/>
                <c:pt idx="0">
                  <c:v>0</c:v>
                </c:pt>
                <c:pt idx="1">
                  <c:v>0.98723688046357161</c:v>
                </c:pt>
                <c:pt idx="2">
                  <c:v>1.9740711960670048</c:v>
                </c:pt>
                <c:pt idx="3">
                  <c:v>2.9600998889082621</c:v>
                </c:pt>
                <c:pt idx="4">
                  <c:v>3.9449189142253047</c:v>
                </c:pt>
                <c:pt idx="5">
                  <c:v>4.9281227450264513</c:v>
                </c:pt>
                <c:pt idx="6">
                  <c:v>5.9093038743959028</c:v>
                </c:pt>
                <c:pt idx="7">
                  <c:v>6.8880523147040371</c:v>
                </c:pt>
                <c:pt idx="8">
                  <c:v>7.8639550929561359</c:v>
                </c:pt>
                <c:pt idx="9">
                  <c:v>8.8365957415188952</c:v>
                </c:pt>
                <c:pt idx="10">
                  <c:v>9.8055537834708524</c:v>
                </c:pt>
                <c:pt idx="11">
                  <c:v>10.770404211831696</c:v>
                </c:pt>
                <c:pt idx="12">
                  <c:v>11.730716961936189</c:v>
                </c:pt>
                <c:pt idx="13">
                  <c:v>12.686056376231626</c:v>
                </c:pt>
                <c:pt idx="14">
                  <c:v>13.635980660793784</c:v>
                </c:pt>
                <c:pt idx="15">
                  <c:v>14.580041332875311</c:v>
                </c:pt>
                <c:pt idx="16">
                  <c:v>15.517782658823663</c:v>
                </c:pt>
                <c:pt idx="17">
                  <c:v>16.448741081732706</c:v>
                </c:pt>
                <c:pt idx="18">
                  <c:v>17.372444638224479</c:v>
                </c:pt>
                <c:pt idx="19">
                  <c:v>18.288412363795558</c:v>
                </c:pt>
                <c:pt idx="20">
                  <c:v>19.196153686206493</c:v>
                </c:pt>
                <c:pt idx="21">
                  <c:v>20.09516780644509</c:v>
                </c:pt>
                <c:pt idx="22">
                  <c:v>20.984943066854413</c:v>
                </c:pt>
                <c:pt idx="23">
                  <c:v>21.864956306085915</c:v>
                </c:pt>
                <c:pt idx="24">
                  <c:v>22.73467220061876</c:v>
                </c:pt>
                <c:pt idx="25">
                  <c:v>23.593542592679285</c:v>
                </c:pt>
                <c:pt idx="26">
                  <c:v>24.441005804499724</c:v>
                </c:pt>
                <c:pt idx="27">
                  <c:v>25.276485938978112</c:v>
                </c:pt>
                <c:pt idx="28">
                  <c:v>26.099392166937193</c:v>
                </c:pt>
                <c:pt idx="29">
                  <c:v>26.909118001339024</c:v>
                </c:pt>
                <c:pt idx="30">
                  <c:v>27.705040558987761</c:v>
                </c:pt>
                <c:pt idx="31">
                  <c:v>28.486519810454197</c:v>
                </c:pt>
                <c:pt idx="32">
                  <c:v>29.252897819180063</c:v>
                </c:pt>
                <c:pt idx="33">
                  <c:v>30.003497970973655</c:v>
                </c:pt>
                <c:pt idx="34">
                  <c:v>30.737624195389486</c:v>
                </c:pt>
                <c:pt idx="35">
                  <c:v>31.454560180800854</c:v>
                </c:pt>
                <c:pt idx="36">
                  <c:v>32.15356858532293</c:v>
                </c:pt>
                <c:pt idx="37">
                  <c:v>32.83389024613173</c:v>
                </c:pt>
                <c:pt idx="38">
                  <c:v>33.494743390152195</c:v>
                </c:pt>
                <c:pt idx="39">
                  <c:v>34.135322849558506</c:v>
                </c:pt>
                <c:pt idx="40">
                  <c:v>34.754799286044388</c:v>
                </c:pt>
                <c:pt idx="41">
                  <c:v>35.352318428384265</c:v>
                </c:pt>
                <c:pt idx="42">
                  <c:v>35.927000328415744</c:v>
                </c:pt>
                <c:pt idx="43">
                  <c:v>36.47793864123453</c:v>
                </c:pt>
                <c:pt idx="44">
                  <c:v>37.004199936103603</c:v>
                </c:pt>
                <c:pt idx="45">
                  <c:v>37.504823045337346</c:v>
                </c:pt>
                <c:pt idx="46">
                  <c:v>37.978818459231832</c:v>
                </c:pt>
                <c:pt idx="47">
                  <c:v>38.425167775963189</c:v>
                </c:pt>
                <c:pt idx="48">
                  <c:v>38.842823216273814</c:v>
                </c:pt>
                <c:pt idx="49">
                  <c:v>39.230707213693393</c:v>
                </c:pt>
                <c:pt idx="50">
                  <c:v>39.587712091998526</c:v>
                </c:pt>
                <c:pt idx="51">
                  <c:v>39.91269984258787</c:v>
                </c:pt>
                <c:pt idx="52">
                  <c:v>40.204502015419934</c:v>
                </c:pt>
                <c:pt idx="53">
                  <c:v>40.461919738122617</c:v>
                </c:pt>
                <c:pt idx="54">
                  <c:v>40.683723878804841</c:v>
                </c:pt>
                <c:pt idx="55">
                  <c:v>40.868655368963459</c:v>
                </c:pt>
                <c:pt idx="56">
                  <c:v>41.015425703656291</c:v>
                </c:pt>
                <c:pt idx="57">
                  <c:v>41.122717636765429</c:v>
                </c:pt>
                <c:pt idx="58">
                  <c:v>41.18918608967428</c:v>
                </c:pt>
                <c:pt idx="59">
                  <c:v>41.213459291982019</c:v>
                </c:pt>
                <c:pt idx="60">
                  <c:v>41.194140172937921</c:v>
                </c:pt>
                <c:pt idx="61">
                  <c:v>41.129808022044415</c:v>
                </c:pt>
                <c:pt idx="62">
                  <c:v>41.019020436706995</c:v>
                </c:pt>
                <c:pt idx="63">
                  <c:v>40.860315573841689</c:v>
                </c:pt>
                <c:pt idx="64">
                  <c:v>40.652214720943135</c:v>
                </c:pt>
                <c:pt idx="65">
                  <c:v>40.393225200211674</c:v>
                </c:pt>
                <c:pt idx="66">
                  <c:v>40.081843616897572</c:v>
                </c:pt>
                <c:pt idx="67">
                  <c:v>39.716559459999786</c:v>
                </c:pt>
                <c:pt idx="68">
                  <c:v>39.295859059833333</c:v>
                </c:pt>
                <c:pt idx="69">
                  <c:v>38.818229902731161</c:v>
                </c:pt>
                <c:pt idx="70">
                  <c:v>38.282165298285349</c:v>
                </c:pt>
                <c:pt idx="71">
                  <c:v>37.68616938906456</c:v>
                </c:pt>
                <c:pt idx="72">
                  <c:v>37.028762486732603</c:v>
                </c:pt>
                <c:pt idx="73">
                  <c:v>36.308486711992572</c:v>
                </c:pt>
                <c:pt idx="74">
                  <c:v>35.523911908900971</c:v>
                </c:pt>
                <c:pt idx="75">
                  <c:v>34.673641796959743</c:v>
                </c:pt>
                <c:pt idx="76">
                  <c:v>33.756320317161794</c:v>
                </c:pt>
                <c:pt idx="77">
                  <c:v>32.770638121023154</c:v>
                </c:pt>
                <c:pt idx="78">
                  <c:v>31.715339144784366</c:v>
                </c:pt>
                <c:pt idx="79">
                  <c:v>30.589227204645709</c:v>
                </c:pt>
                <c:pt idx="80">
                  <c:v>29.391172543339991</c:v>
                </c:pt>
                <c:pt idx="81">
                  <c:v>28.120118253793692</c:v>
                </c:pt>
                <c:pt idx="82">
                  <c:v>26.775086502310018</c:v>
                </c:pt>
                <c:pt idx="83">
                  <c:v>25.355184471841511</c:v>
                </c:pt>
                <c:pt idx="84">
                  <c:v>23.859609945679665</c:v>
                </c:pt>
                <c:pt idx="85">
                  <c:v>22.287656453417696</c:v>
                </c:pt>
                <c:pt idx="86">
                  <c:v>20.638717904417462</c:v>
                </c:pt>
                <c:pt idx="87">
                  <c:v>18.912292639249813</c:v>
                </c:pt>
                <c:pt idx="88">
                  <c:v>17.107986836631483</c:v>
                </c:pt>
                <c:pt idx="89">
                  <c:v>15.225517222127763</c:v>
                </c:pt>
                <c:pt idx="90">
                  <c:v>13.264713035132729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31-47AE-9ECB-E5D9FD6B6196}"/>
            </c:ext>
          </c:extLst>
        </c:ser>
        <c:ser>
          <c:idx val="10"/>
          <c:order val="10"/>
          <c:tx>
            <c:strRef>
              <c:f>'Challenge 11a'!$M$7</c:f>
              <c:strCache>
                <c:ptCount val="1"/>
                <c:pt idx="0">
                  <c:v>Sec Red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11a'!$M$8:$M$98</c:f>
              <c:numCache>
                <c:formatCode>0.00</c:formatCode>
                <c:ptCount val="91"/>
                <c:pt idx="0">
                  <c:v>180</c:v>
                </c:pt>
                <c:pt idx="1">
                  <c:v>177.4922108768391</c:v>
                </c:pt>
                <c:pt idx="2">
                  <c:v>174.98501999586568</c:v>
                </c:pt>
                <c:pt idx="3">
                  <c:v>172.47902634300829</c:v>
                </c:pt>
                <c:pt idx="4">
                  <c:v>169.97483039289153</c:v>
                </c:pt>
                <c:pt idx="5">
                  <c:v>167.47303485621904</c:v>
                </c:pt>
                <c:pt idx="6">
                  <c:v>164.97424543079427</c:v>
                </c:pt>
                <c:pt idx="7">
                  <c:v>162.47907155738687</c:v>
                </c:pt>
                <c:pt idx="8">
                  <c:v>159.98812718164706</c:v>
                </c:pt>
                <c:pt idx="9">
                  <c:v>157.50203152326259</c:v>
                </c:pt>
                <c:pt idx="10">
                  <c:v>155.02140985354578</c:v>
                </c:pt>
                <c:pt idx="11">
                  <c:v>152.54689428262583</c:v>
                </c:pt>
                <c:pt idx="12">
                  <c:v>150.07912455740762</c:v>
                </c:pt>
                <c:pt idx="13">
                  <c:v>147.61874887144228</c:v>
                </c:pt>
                <c:pt idx="14">
                  <c:v>145.16642468783229</c:v>
                </c:pt>
                <c:pt idx="15">
                  <c:v>142.72281957626899</c:v>
                </c:pt>
                <c:pt idx="16">
                  <c:v>140.28861206526915</c:v>
                </c:pt>
                <c:pt idx="17">
                  <c:v>137.8644925106407</c:v>
                </c:pt>
                <c:pt idx="18">
                  <c:v>135.45116398116232</c:v>
                </c:pt>
                <c:pt idx="19">
                  <c:v>133.0493431624094</c:v>
                </c:pt>
                <c:pt idx="20">
                  <c:v>130.65976127959738</c:v>
                </c:pt>
                <c:pt idx="21">
                  <c:v>128.28316504023863</c:v>
                </c:pt>
                <c:pt idx="22">
                  <c:v>125.92031759732539</c:v>
                </c:pt>
                <c:pt idx="23">
                  <c:v>123.57199953364957</c:v>
                </c:pt>
                <c:pt idx="24">
                  <c:v>121.23900986775604</c:v>
                </c:pt>
                <c:pt idx="25">
                  <c:v>118.92216708189054</c:v>
                </c:pt>
                <c:pt idx="26">
                  <c:v>116.62231017215039</c:v>
                </c:pt>
                <c:pt idx="27">
                  <c:v>114.34029972086773</c:v>
                </c:pt>
                <c:pt idx="28">
                  <c:v>112.07701899105287</c:v>
                </c:pt>
                <c:pt idx="29">
                  <c:v>109.83337504249448</c:v>
                </c:pt>
                <c:pt idx="30">
                  <c:v>107.6102998688489</c:v>
                </c:pt>
                <c:pt idx="31">
                  <c:v>105.40875155475584</c:v>
                </c:pt>
                <c:pt idx="32">
                  <c:v>103.22971545167783</c:v>
                </c:pt>
                <c:pt idx="33">
                  <c:v>101.07420537078593</c:v>
                </c:pt>
                <c:pt idx="34">
                  <c:v>98.943264790785236</c:v>
                </c:pt>
                <c:pt idx="35">
                  <c:v>96.837968078102051</c:v>
                </c:pt>
                <c:pt idx="36">
                  <c:v>94.759421716321185</c:v>
                </c:pt>
                <c:pt idx="37">
                  <c:v>92.708765541174671</c:v>
                </c:pt>
                <c:pt idx="38">
                  <c:v>90.687173976729071</c:v>
                </c:pt>
                <c:pt idx="39">
                  <c:v>88.695857267699068</c:v>
                </c:pt>
                <c:pt idx="40">
                  <c:v>86.736062702023077</c:v>
                </c:pt>
                <c:pt idx="41">
                  <c:v>84.809075816968374</c:v>
                </c:pt>
                <c:pt idx="42">
                  <c:v>82.91622158108899</c:v>
                </c:pt>
                <c:pt idx="43">
                  <c:v>81.058865543332217</c:v>
                </c:pt>
                <c:pt idx="44">
                  <c:v>79.238414939480577</c:v>
                </c:pt>
                <c:pt idx="45">
                  <c:v>77.456319744926873</c:v>
                </c:pt>
                <c:pt idx="46">
                  <c:v>75.714073661505267</c:v>
                </c:pt>
                <c:pt idx="47">
                  <c:v>74.013215024754942</c:v>
                </c:pt>
                <c:pt idx="48">
                  <c:v>72.355327616567735</c:v>
                </c:pt>
                <c:pt idx="49">
                  <c:v>70.74204136669141</c:v>
                </c:pt>
                <c:pt idx="50">
                  <c:v>69.175032925022094</c:v>
                </c:pt>
                <c:pt idx="51">
                  <c:v>67.656026085047642</c:v>
                </c:pt>
                <c:pt idx="52">
                  <c:v>66.186792037224336</c:v>
                </c:pt>
                <c:pt idx="53">
                  <c:v>64.769149429488607</c:v>
                </c:pt>
                <c:pt idx="54">
                  <c:v>63.40496421057685</c:v>
                </c:pt>
                <c:pt idx="55">
                  <c:v>62.09614923037546</c:v>
                </c:pt>
                <c:pt idx="56">
                  <c:v>60.84466357018843</c:v>
                </c:pt>
                <c:pt idx="57">
                  <c:v>59.652511574660736</c:v>
                </c:pt>
                <c:pt idx="58">
                  <c:v>58.52174155616953</c:v>
                </c:pt>
                <c:pt idx="59">
                  <c:v>57.454444141869686</c:v>
                </c:pt>
                <c:pt idx="60">
                  <c:v>56.45275023332772</c:v>
                </c:pt>
                <c:pt idx="61">
                  <c:v>55.518828548863382</c:v>
                </c:pt>
                <c:pt idx="62">
                  <c:v>54.654882719444856</c:v>
                </c:pt>
                <c:pt idx="63">
                  <c:v>53.863147910314723</c:v>
                </c:pt>
                <c:pt idx="64">
                  <c:v>53.145886942560935</c:v>
                </c:pt>
                <c:pt idx="65">
                  <c:v>52.505385891673598</c:v>
                </c:pt>
                <c:pt idx="66">
                  <c:v>51.943949143806435</c:v>
                </c:pt>
                <c:pt idx="67">
                  <c:v>51.463893895086358</c:v>
                </c:pt>
                <c:pt idx="68">
                  <c:v>51.067544084912413</c:v>
                </c:pt>
                <c:pt idx="69">
                  <c:v>50.757223760801082</c:v>
                </c:pt>
                <c:pt idx="70">
                  <c:v>50.535249879981734</c:v>
                </c:pt>
                <c:pt idx="71">
                  <c:v>50.403924561578833</c:v>
                </c:pt>
                <c:pt idx="72">
                  <c:v>50.365526812787152</c:v>
                </c:pt>
                <c:pt idx="73">
                  <c:v>50.422303762845104</c:v>
                </c:pt>
                <c:pt idx="74">
                  <c:v>50.576461449676572</c:v>
                </c:pt>
                <c:pt idx="75">
                  <c:v>50.830155215609636</c:v>
                </c:pt>
                <c:pt idx="76">
                  <c:v>51.185479780337346</c:v>
                </c:pt>
                <c:pt idx="77">
                  <c:v>51.644459070955691</c:v>
                </c:pt>
                <c:pt idx="78">
                  <c:v>52.20903590017042</c:v>
                </c:pt>
                <c:pt idx="79">
                  <c:v>52.88106159421676</c:v>
                </c:pt>
                <c:pt idx="80">
                  <c:v>53.662285681301967</c:v>
                </c:pt>
                <c:pt idx="81">
                  <c:v>54.554345759054172</c:v>
                </c:pt>
                <c:pt idx="82">
                  <c:v>55.558757665150949</c:v>
                </c:pt>
                <c:pt idx="83">
                  <c:v>56.676906078649722</c:v>
                </c:pt>
                <c:pt idx="84">
                  <c:v>57.910035680245073</c:v>
                </c:pt>
                <c:pt idx="85">
                  <c:v>59.259242997493118</c:v>
                </c:pt>
                <c:pt idx="86">
                  <c:v>60.725469055832605</c:v>
                </c:pt>
                <c:pt idx="87">
                  <c:v>62.309492947947035</c:v>
                </c:pt>
                <c:pt idx="88">
                  <c:v>64.01192642274151</c:v>
                </c:pt>
                <c:pt idx="89">
                  <c:v>65.833209581124777</c:v>
                </c:pt>
                <c:pt idx="90">
                  <c:v>67.773607749235623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31-47AE-9ECB-E5D9FD6B6196}"/>
            </c:ext>
          </c:extLst>
        </c:ser>
        <c:ser>
          <c:idx val="11"/>
          <c:order val="11"/>
          <c:tx>
            <c:strRef>
              <c:f>'Challenge 11a'!$N$7</c:f>
              <c:strCache>
                <c:ptCount val="1"/>
                <c:pt idx="0">
                  <c:v>Sec Orange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11a'!$N$8:$N$98</c:f>
              <c:numCache>
                <c:formatCode>0.00</c:formatCode>
                <c:ptCount val="91"/>
                <c:pt idx="0">
                  <c:v>180</c:v>
                </c:pt>
                <c:pt idx="1">
                  <c:v>177.49593345915028</c:v>
                </c:pt>
                <c:pt idx="2">
                  <c:v>174.99246594505138</c:v>
                </c:pt>
                <c:pt idx="3">
                  <c:v>172.49019722763819</c:v>
                </c:pt>
                <c:pt idx="4">
                  <c:v>169.98972856442123</c:v>
                </c:pt>
                <c:pt idx="5">
                  <c:v>167.49166344729167</c:v>
                </c:pt>
                <c:pt idx="6">
                  <c:v>164.99660835294372</c:v>
                </c:pt>
                <c:pt idx="7">
                  <c:v>162.50517349811469</c:v>
                </c:pt>
                <c:pt idx="8">
                  <c:v>160.01797360083717</c:v>
                </c:pt>
                <c:pt idx="9">
                  <c:v>157.53562864889165</c:v>
                </c:pt>
                <c:pt idx="10">
                  <c:v>155.05876467663813</c:v>
                </c:pt>
                <c:pt idx="11">
                  <c:v>152.58801455139439</c:v>
                </c:pt>
                <c:pt idx="12">
                  <c:v>150.12401877051417</c:v>
                </c:pt>
                <c:pt idx="13">
                  <c:v>147.66742627030101</c:v>
                </c:pt>
                <c:pt idx="14">
                  <c:v>145.21889524787184</c:v>
                </c:pt>
                <c:pt idx="15">
                  <c:v>142.77909399705865</c:v>
                </c:pt>
                <c:pt idx="16">
                  <c:v>140.34870175940483</c:v>
                </c:pt>
                <c:pt idx="17">
                  <c:v>137.9284095912754</c:v>
                </c:pt>
                <c:pt idx="18">
                  <c:v>135.51892124805485</c:v>
                </c:pt>
                <c:pt idx="19">
                  <c:v>133.12095408635378</c:v>
                </c:pt>
                <c:pt idx="20">
                  <c:v>130.73523998508193</c:v>
                </c:pt>
                <c:pt idx="21">
                  <c:v>128.36252628617237</c:v>
                </c:pt>
                <c:pt idx="22">
                  <c:v>126.0035767556535</c:v>
                </c:pt>
                <c:pt idx="23">
                  <c:v>123.65917256566757</c:v>
                </c:pt>
                <c:pt idx="24">
                  <c:v>121.33011329791542</c:v>
                </c:pt>
                <c:pt idx="25">
                  <c:v>119.01721796887401</c:v>
                </c:pt>
                <c:pt idx="26">
                  <c:v>116.72132607697732</c:v>
                </c:pt>
                <c:pt idx="27">
                  <c:v>114.44329867177406</c:v>
                </c:pt>
                <c:pt idx="28">
                  <c:v>112.18401944487204</c:v>
                </c:pt>
                <c:pt idx="29">
                  <c:v>109.94439584224591</c:v>
                </c:pt>
                <c:pt idx="30">
                  <c:v>107.72536019722475</c:v>
                </c:pt>
                <c:pt idx="31">
                  <c:v>105.52787088317334</c:v>
                </c:pt>
                <c:pt idx="32">
                  <c:v>103.3529134845493</c:v>
                </c:pt>
                <c:pt idx="33">
                  <c:v>101.20150198463554</c:v>
                </c:pt>
                <c:pt idx="34">
                  <c:v>99.074679967824153</c:v>
                </c:pt>
                <c:pt idx="35">
                  <c:v>96.973521833853368</c:v>
                </c:pt>
                <c:pt idx="36">
                  <c:v>94.899134020868246</c:v>
                </c:pt>
                <c:pt idx="37">
                  <c:v>92.852656233588704</c:v>
                </c:pt>
                <c:pt idx="38">
                  <c:v>90.835262672216686</c:v>
                </c:pt>
                <c:pt idx="39">
                  <c:v>88.848163256995576</c:v>
                </c:pt>
                <c:pt idx="40">
                  <c:v>86.892604842546945</c:v>
                </c:pt>
                <c:pt idx="41">
                  <c:v>84.969872415244538</c:v>
                </c:pt>
                <c:pt idx="42">
                  <c:v>83.081290265944006</c:v>
                </c:pt>
                <c:pt idx="43">
                  <c:v>81.228223129365375</c:v>
                </c:pt>
                <c:pt idx="44">
                  <c:v>79.412077280323984</c:v>
                </c:pt>
                <c:pt idx="45">
                  <c:v>77.634301575818597</c:v>
                </c:pt>
                <c:pt idx="46">
                  <c:v>75.896388430724784</c:v>
                </c:pt>
                <c:pt idx="47">
                  <c:v>74.199874713499952</c:v>
                </c:pt>
                <c:pt idx="48">
                  <c:v>72.546342546896483</c:v>
                </c:pt>
                <c:pt idx="49">
                  <c:v>70.937419997207968</c:v>
                </c:pt>
                <c:pt idx="50">
                  <c:v>69.374781634053988</c:v>
                </c:pt>
                <c:pt idx="51">
                  <c:v>67.860148941150015</c:v>
                </c:pt>
                <c:pt idx="52">
                  <c:v>66.395290556946975</c:v>
                </c:pt>
                <c:pt idx="53">
                  <c:v>64.982022322467145</c:v>
                </c:pt>
                <c:pt idx="54">
                  <c:v>63.622207112151415</c:v>
                </c:pt>
                <c:pt idx="55">
                  <c:v>62.317754422105395</c:v>
                </c:pt>
                <c:pt idx="56">
                  <c:v>61.070619688823598</c:v>
                </c:pt>
                <c:pt idx="57">
                  <c:v>59.882803310341757</c:v>
                </c:pt>
                <c:pt idx="58">
                  <c:v>58.75634934086932</c:v>
                </c:pt>
                <c:pt idx="59">
                  <c:v>57.693343829355456</c:v>
                </c:pt>
                <c:pt idx="60">
                  <c:v>56.695912772207123</c:v>
                </c:pt>
                <c:pt idx="61">
                  <c:v>55.766219650595787</c:v>
                </c:pt>
                <c:pt idx="62">
                  <c:v>54.906462523527011</c:v>
                </c:pt>
                <c:pt idx="63">
                  <c:v>54.118870649201142</c:v>
                </c:pt>
                <c:pt idx="64">
                  <c:v>53.405700609241393</c:v>
                </c:pt>
                <c:pt idx="65">
                  <c:v>52.769231913194687</c:v>
                </c:pt>
                <c:pt idx="66">
                  <c:v>52.211762064391337</c:v>
                </c:pt>
                <c:pt idx="67">
                  <c:v>51.735601072859026</c:v>
                </c:pt>
                <c:pt idx="68">
                  <c:v>51.343065406563028</c:v>
                </c:pt>
                <c:pt idx="69">
                  <c:v>51.03647137882939</c:v>
                </c:pt>
                <c:pt idx="70">
                  <c:v>50.818127977400593</c:v>
                </c:pt>
                <c:pt idx="71">
                  <c:v>50.690329149149079</c:v>
                </c:pt>
                <c:pt idx="72">
                  <c:v>50.655345563965227</c:v>
                </c:pt>
                <c:pt idx="73">
                  <c:v>50.715415891643261</c:v>
                </c:pt>
                <c:pt idx="74">
                  <c:v>50.872737636546219</c:v>
                </c:pt>
                <c:pt idx="75">
                  <c:v>51.129457586254375</c:v>
                </c:pt>
                <c:pt idx="76">
                  <c:v>51.487661942022669</c:v>
                </c:pt>
                <c:pt idx="77">
                  <c:v>51.949366210413416</c:v>
                </c:pt>
                <c:pt idx="78">
                  <c:v>52.516504946575822</c:v>
                </c:pt>
                <c:pt idx="79">
                  <c:v>53.190921449965913</c:v>
                </c:pt>
                <c:pt idx="80">
                  <c:v>53.97435752242643</c:v>
                </c:pt>
                <c:pt idx="81">
                  <c:v>54.868443406098493</c:v>
                </c:pt>
                <c:pt idx="82">
                  <c:v>55.874688024224099</c:v>
                </c:pt>
                <c:pt idx="83">
                  <c:v>56.994469651165957</c:v>
                </c:pt>
                <c:pt idx="84">
                  <c:v>58.229027138624247</c:v>
                </c:pt>
                <c:pt idx="85">
                  <c:v>59.579451822824694</c:v>
                </c:pt>
                <c:pt idx="86">
                  <c:v>61.046680232266567</c:v>
                </c:pt>
                <c:pt idx="87">
                  <c:v>62.631487707389908</c:v>
                </c:pt>
                <c:pt idx="88">
                  <c:v>64.334483032350761</c:v>
                </c:pt>
                <c:pt idx="89">
                  <c:v>66.156104165148179</c:v>
                </c:pt>
                <c:pt idx="90">
                  <c:v>68.096615135963589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31-47AE-9ECB-E5D9FD6B6196}"/>
            </c:ext>
          </c:extLst>
        </c:ser>
        <c:ser>
          <c:idx val="12"/>
          <c:order val="12"/>
          <c:tx>
            <c:strRef>
              <c:f>'Challenge 11a'!$O$7</c:f>
              <c:strCache>
                <c:ptCount val="1"/>
                <c:pt idx="0">
                  <c:v>Sec Yellow 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11a'!$O$8:$O$98</c:f>
              <c:numCache>
                <c:formatCode>0.00</c:formatCode>
                <c:ptCount val="91"/>
                <c:pt idx="0">
                  <c:v>180</c:v>
                </c:pt>
                <c:pt idx="1">
                  <c:v>177.49796136825341</c:v>
                </c:pt>
                <c:pt idx="2">
                  <c:v>174.99652218932124</c:v>
                </c:pt>
                <c:pt idx="3">
                  <c:v>172.49628265889584</c:v>
                </c:pt>
                <c:pt idx="4">
                  <c:v>169.99784445962911</c:v>
                </c:pt>
                <c:pt idx="5">
                  <c:v>167.50181150762</c:v>
                </c:pt>
                <c:pt idx="6">
                  <c:v>165.00879070250818</c:v>
                </c:pt>
                <c:pt idx="7">
                  <c:v>162.51939268236984</c:v>
                </c:pt>
                <c:pt idx="8">
                  <c:v>160.03423258460668</c:v>
                </c:pt>
                <c:pt idx="9">
                  <c:v>157.55393081401172</c:v>
                </c:pt>
                <c:pt idx="10">
                  <c:v>155.07911381918672</c:v>
                </c:pt>
                <c:pt idx="11">
                  <c:v>152.61041487847436</c:v>
                </c:pt>
                <c:pt idx="12">
                  <c:v>150.14847489655369</c:v>
                </c:pt>
                <c:pt idx="13">
                  <c:v>147.69394321283011</c:v>
                </c:pt>
                <c:pt idx="14">
                  <c:v>145.24747842272899</c:v>
                </c:pt>
                <c:pt idx="15">
                  <c:v>142.80974921297576</c:v>
                </c:pt>
                <c:pt idx="16">
                  <c:v>140.38143521191404</c:v>
                </c:pt>
                <c:pt idx="17">
                  <c:v>137.96322785587486</c:v>
                </c:pt>
                <c:pt idx="18">
                  <c:v>135.5558312725648</c:v>
                </c:pt>
                <c:pt idx="19">
                  <c:v>133.15996318238791</c:v>
                </c:pt>
                <c:pt idx="20">
                  <c:v>130.77635581855256</c:v>
                </c:pt>
                <c:pt idx="21">
                  <c:v>128.40575686673969</c:v>
                </c:pt>
                <c:pt idx="22">
                  <c:v>126.04893042502377</c:v>
                </c:pt>
                <c:pt idx="23">
                  <c:v>123.70665798463513</c:v>
                </c:pt>
                <c:pt idx="24">
                  <c:v>121.379739432037</c:v>
                </c:pt>
                <c:pt idx="25">
                  <c:v>119.06899407265382</c:v>
                </c:pt>
                <c:pt idx="26">
                  <c:v>116.77526167643362</c:v>
                </c:pt>
                <c:pt idx="27">
                  <c:v>114.49940354524784</c:v>
                </c:pt>
                <c:pt idx="28">
                  <c:v>112.24230360192881</c:v>
                </c:pt>
                <c:pt idx="29">
                  <c:v>110.00486950051263</c:v>
                </c:pt>
                <c:pt idx="30">
                  <c:v>107.78803375699164</c:v>
                </c:pt>
                <c:pt idx="31">
                  <c:v>105.59275489958259</c:v>
                </c:pt>
                <c:pt idx="32">
                  <c:v>103.42001863718002</c:v>
                </c:pt>
                <c:pt idx="33">
                  <c:v>101.27083904428395</c:v>
                </c:pt>
                <c:pt idx="34">
                  <c:v>99.146259760269089</c:v>
                </c:pt>
                <c:pt idx="35">
                  <c:v>97.047355200384828</c:v>
                </c:pt>
                <c:pt idx="36">
                  <c:v>94.975231775347822</c:v>
                </c:pt>
                <c:pt idx="37">
                  <c:v>92.93102911580209</c:v>
                </c:pt>
                <c:pt idx="38">
                  <c:v>90.915921297267801</c:v>
                </c:pt>
                <c:pt idx="39">
                  <c:v>88.931118060487023</c:v>
                </c:pt>
                <c:pt idx="40">
                  <c:v>86.977866021284399</c:v>
                </c:pt>
                <c:pt idx="41">
                  <c:v>85.057449863197519</c:v>
                </c:pt>
                <c:pt idx="42">
                  <c:v>83.171193505195305</c:v>
                </c:pt>
                <c:pt idx="43">
                  <c:v>81.320461235781693</c:v>
                </c:pt>
                <c:pt idx="44">
                  <c:v>79.506658803683223</c:v>
                </c:pt>
                <c:pt idx="45">
                  <c:v>77.731234454138985</c:v>
                </c:pt>
                <c:pt idx="46">
                  <c:v>75.995679898551657</c:v>
                </c:pt>
                <c:pt idx="47">
                  <c:v>74.301531203924412</c:v>
                </c:pt>
                <c:pt idx="48">
                  <c:v>72.650369587104024</c:v>
                </c:pt>
                <c:pt idx="49">
                  <c:v>71.043822097385288</c:v>
                </c:pt>
                <c:pt idx="50">
                  <c:v>69.483562169519104</c:v>
                </c:pt>
                <c:pt idx="51">
                  <c:v>67.971310027620035</c:v>
                </c:pt>
                <c:pt idx="52">
                  <c:v>66.508832918912475</c:v>
                </c:pt>
                <c:pt idx="53">
                  <c:v>65.097945154708384</c:v>
                </c:pt>
                <c:pt idx="54">
                  <c:v>63.740507934511356</c:v>
                </c:pt>
                <c:pt idx="55">
                  <c:v>62.43842892772372</c:v>
                </c:pt>
                <c:pt idx="56">
                  <c:v>61.193661586138205</c:v>
                </c:pt>
                <c:pt idx="57">
                  <c:v>60.008204159281945</c:v>
                </c:pt>
                <c:pt idx="58">
                  <c:v>58.884098383793997</c:v>
                </c:pt>
                <c:pt idx="59">
                  <c:v>57.823427817432446</c:v>
                </c:pt>
                <c:pt idx="60">
                  <c:v>56.828315788088304</c:v>
                </c:pt>
                <c:pt idx="61">
                  <c:v>55.900922928408903</c:v>
                </c:pt>
                <c:pt idx="62">
                  <c:v>55.043444267387656</c:v>
                </c:pt>
                <c:pt idx="63">
                  <c:v>54.258105851634838</c:v>
                </c:pt>
                <c:pt idx="64">
                  <c:v>53.547160871103841</c:v>
                </c:pt>
                <c:pt idx="65">
                  <c:v>52.912885266872649</c:v>
                </c:pt>
                <c:pt idx="66">
                  <c:v>52.3575728022671</c:v>
                </c:pt>
                <c:pt idx="67">
                  <c:v>51.883529583210247</c:v>
                </c:pt>
                <c:pt idx="68">
                  <c:v>51.493068019246778</c:v>
                </c:pt>
                <c:pt idx="69">
                  <c:v>51.188500223262338</c:v>
                </c:pt>
                <c:pt idx="70">
                  <c:v>50.972130855478099</c:v>
                </c:pt>
                <c:pt idx="71">
                  <c:v>50.846249425845713</c:v>
                </c:pt>
                <c:pt idx="72">
                  <c:v>50.813122078421145</c:v>
                </c:pt>
                <c:pt idx="73">
                  <c:v>50.874982891544448</c:v>
                </c:pt>
                <c:pt idx="74">
                  <c:v>51.034024738561527</c:v>
                </c:pt>
                <c:pt idx="75">
                  <c:v>51.292389765178143</c:v>
                </c:pt>
                <c:pt idx="76">
                  <c:v>51.652159551087266</c:v>
                </c:pt>
                <c:pt idx="77">
                  <c:v>52.115345034980919</c:v>
                </c:pt>
                <c:pt idx="78">
                  <c:v>52.683876293083472</c:v>
                </c:pt>
                <c:pt idx="79">
                  <c:v>53.359592271592135</c:v>
                </c:pt>
                <c:pt idx="80">
                  <c:v>54.144230582460523</c:v>
                </c:pt>
                <c:pt idx="81">
                  <c:v>55.039417479453959</c:v>
                </c:pt>
                <c:pt idx="82">
                  <c:v>56.046658136930489</c:v>
                </c:pt>
                <c:pt idx="83">
                  <c:v>57.167327357028171</c:v>
                </c:pt>
                <c:pt idx="84">
                  <c:v>58.402660831565186</c:v>
                </c:pt>
                <c:pt idx="85">
                  <c:v>59.753747082746543</c:v>
                </c:pt>
                <c:pt idx="86">
                  <c:v>61.221520201590977</c:v>
                </c:pt>
                <c:pt idx="87">
                  <c:v>62.8067534948039</c:v>
                </c:pt>
                <c:pt idx="88">
                  <c:v>64.510054139694034</c:v>
                </c:pt>
                <c:pt idx="89">
                  <c:v>66.331858932870659</c:v>
                </c:pt>
                <c:pt idx="90">
                  <c:v>68.27243120216076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31-47AE-9ECB-E5D9FD6B6196}"/>
            </c:ext>
          </c:extLst>
        </c:ser>
        <c:ser>
          <c:idx val="13"/>
          <c:order val="13"/>
          <c:tx>
            <c:strRef>
              <c:f>'Challenge 11a'!$P$7</c:f>
              <c:strCache>
                <c:ptCount val="1"/>
                <c:pt idx="0">
                  <c:v>Sec Green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11a'!$P$8:$P$98</c:f>
              <c:numCache>
                <c:formatCode>0.00</c:formatCode>
                <c:ptCount val="91"/>
                <c:pt idx="0">
                  <c:v>180</c:v>
                </c:pt>
                <c:pt idx="1">
                  <c:v>177.50167446262409</c:v>
                </c:pt>
                <c:pt idx="2">
                  <c:v>175.00394915574662</c:v>
                </c:pt>
                <c:pt idx="3">
                  <c:v>172.50742505217832</c:v>
                </c:pt>
                <c:pt idx="4">
                  <c:v>170.01270461055111</c:v>
                </c:pt>
                <c:pt idx="5">
                  <c:v>167.52039252121938</c:v>
                </c:pt>
                <c:pt idx="6">
                  <c:v>165.03109645574628</c:v>
                </c:pt>
                <c:pt idx="7">
                  <c:v>162.54542782116454</c:v>
                </c:pt>
                <c:pt idx="8">
                  <c:v>160.06400252019489</c:v>
                </c:pt>
                <c:pt idx="9">
                  <c:v>157.58744171859897</c:v>
                </c:pt>
                <c:pt idx="10">
                  <c:v>155.11637262083298</c:v>
                </c:pt>
                <c:pt idx="11">
                  <c:v>152.65142925515812</c:v>
                </c:pt>
                <c:pt idx="12">
                  <c:v>150.19325326934717</c:v>
                </c:pt>
                <c:pt idx="13">
                  <c:v>147.74249473811031</c:v>
                </c:pt>
                <c:pt idx="14">
                  <c:v>145.29981298333996</c:v>
                </c:pt>
                <c:pt idx="15">
                  <c:v>142.86587740824831</c:v>
                </c:pt>
                <c:pt idx="16">
                  <c:v>140.44136834643845</c:v>
                </c:pt>
                <c:pt idx="17">
                  <c:v>138.02697792691211</c:v>
                </c:pt>
                <c:pt idx="18">
                  <c:v>135.62341095597122</c:v>
                </c:pt>
                <c:pt idx="19">
                  <c:v>133.23138581691501</c:v>
                </c:pt>
                <c:pt idx="20">
                  <c:v>130.85163538837338</c:v>
                </c:pt>
                <c:pt idx="21">
                  <c:v>128.48490798203869</c:v>
                </c:pt>
                <c:pt idx="22">
                  <c:v>126.13196830047451</c:v>
                </c:pt>
                <c:pt idx="23">
                  <c:v>123.79359841557529</c:v>
                </c:pt>
                <c:pt idx="24">
                  <c:v>121.47059876813555</c:v>
                </c:pt>
                <c:pt idx="25">
                  <c:v>119.16378918884944</c:v>
                </c:pt>
                <c:pt idx="26">
                  <c:v>116.8740099409077</c:v>
                </c:pt>
                <c:pt idx="27">
                  <c:v>114.60212278417725</c:v>
                </c:pt>
                <c:pt idx="28">
                  <c:v>112.34901206074704</c:v>
                </c:pt>
                <c:pt idx="29">
                  <c:v>110.11558580138976</c:v>
                </c:pt>
                <c:pt idx="30">
                  <c:v>107.90277685222429</c:v>
                </c:pt>
                <c:pt idx="31">
                  <c:v>105.71154402056706</c:v>
                </c:pt>
                <c:pt idx="32">
                  <c:v>103.54287323862144</c:v>
                </c:pt>
                <c:pt idx="33">
                  <c:v>101.39777874327632</c:v>
                </c:pt>
                <c:pt idx="34">
                  <c:v>99.277304269860934</c:v>
                </c:pt>
                <c:pt idx="35">
                  <c:v>97.182524257227016</c:v>
                </c:pt>
                <c:pt idx="36">
                  <c:v>95.114545061002616</c:v>
                </c:pt>
                <c:pt idx="37">
                  <c:v>93.074506171274351</c:v>
                </c:pt>
                <c:pt idx="38">
                  <c:v>91.063581430305874</c:v>
                </c:pt>
                <c:pt idx="39">
                  <c:v>89.082980245185723</c:v>
                </c:pt>
                <c:pt idx="40">
                  <c:v>87.133948789512971</c:v>
                </c:pt>
                <c:pt idx="41">
                  <c:v>85.217771187368015</c:v>
                </c:pt>
                <c:pt idx="42">
                  <c:v>83.335770671883552</c:v>
                </c:pt>
                <c:pt idx="43">
                  <c:v>81.489310709714886</c:v>
                </c:pt>
                <c:pt idx="44">
                  <c:v>79.679796081615024</c:v>
                </c:pt>
                <c:pt idx="45">
                  <c:v>77.90867390814924</c:v>
                </c:pt>
                <c:pt idx="46">
                  <c:v>76.177434608329293</c:v>
                </c:pt>
                <c:pt idx="47">
                  <c:v>74.487612777625856</c:v>
                </c:pt>
                <c:pt idx="48">
                  <c:v>72.840787970421928</c:v>
                </c:pt>
                <c:pt idx="49">
                  <c:v>71.238585370518251</c:v>
                </c:pt>
                <c:pt idx="50">
                  <c:v>69.682676331804544</c:v>
                </c:pt>
                <c:pt idx="51">
                  <c:v>68.174778769675726</c:v>
                </c:pt>
                <c:pt idx="52">
                  <c:v>66.7166573822374</c:v>
                </c:pt>
                <c:pt idx="53">
                  <c:v>65.310123678814705</c:v>
                </c:pt>
                <c:pt idx="54">
                  <c:v>63.957035791801673</c:v>
                </c:pt>
                <c:pt idx="55">
                  <c:v>62.659298046493404</c:v>
                </c:pt>
                <c:pt idx="56">
                  <c:v>61.418860262269931</c:v>
                </c:pt>
                <c:pt idx="57">
                  <c:v>60.237716757411818</c:v>
                </c:pt>
                <c:pt idx="58">
                  <c:v>59.117905028965424</c:v>
                </c:pt>
                <c:pt idx="59">
                  <c:v>58.061504078516151</c:v>
                </c:pt>
                <c:pt idx="60">
                  <c:v>57.070632354528698</c:v>
                </c:pt>
                <c:pt idx="61">
                  <c:v>56.147445282170708</c:v>
                </c:pt>
                <c:pt idx="62">
                  <c:v>55.294132352296145</c:v>
                </c:pt>
                <c:pt idx="63">
                  <c:v>54.512913742654092</c:v>
                </c:pt>
                <c:pt idx="64">
                  <c:v>53.806036446445233</c:v>
                </c:pt>
                <c:pt idx="65">
                  <c:v>53.175769886190722</c:v>
                </c:pt>
                <c:pt idx="66">
                  <c:v>52.62440099455398</c:v>
                </c:pt>
                <c:pt idx="67">
                  <c:v>52.154228748345702</c:v>
                </c:pt>
                <c:pt idx="68">
                  <c:v>51.767558147485147</c:v>
                </c:pt>
                <c:pt idx="69">
                  <c:v>51.466693637224012</c:v>
                </c:pt>
                <c:pt idx="70">
                  <c:v>51.253931979455842</c:v>
                </c:pt>
                <c:pt idx="71">
                  <c:v>51.131554587415394</c:v>
                </c:pt>
                <c:pt idx="72">
                  <c:v>51.101819347450032</c:v>
                </c:pt>
                <c:pt idx="73">
                  <c:v>51.166951961702694</c:v>
                </c:pt>
                <c:pt idx="74">
                  <c:v>51.329136856352363</c:v>
                </c:pt>
                <c:pt idx="75">
                  <c:v>51.590507711292901</c:v>
                </c:pt>
                <c:pt idx="76">
                  <c:v>51.953137678558733</c:v>
                </c:pt>
                <c:pt idx="77">
                  <c:v>52.419029368134829</c:v>
                </c:pt>
                <c:pt idx="78">
                  <c:v>52.990104690685314</c:v>
                </c:pt>
                <c:pt idx="79">
                  <c:v>53.668194656837898</c:v>
                </c:pt>
                <c:pt idx="80">
                  <c:v>54.455029241586885</c:v>
                </c:pt>
                <c:pt idx="81">
                  <c:v>55.352227429749405</c:v>
                </c:pt>
                <c:pt idx="82">
                  <c:v>56.361287563830956</c:v>
                </c:pt>
                <c:pt idx="83">
                  <c:v>57.483578118811749</c:v>
                </c:pt>
                <c:pt idx="84">
                  <c:v>58.7203290289346</c:v>
                </c:pt>
                <c:pt idx="85">
                  <c:v>60.072623689350564</c:v>
                </c:pt>
                <c:pt idx="86">
                  <c:v>61.541391750320997</c:v>
                </c:pt>
                <c:pt idx="87">
                  <c:v>63.127402813536946</c:v>
                </c:pt>
                <c:pt idx="88">
                  <c:v>64.831261129099971</c:v>
                </c:pt>
                <c:pt idx="89">
                  <c:v>66.653401377966475</c:v>
                </c:pt>
                <c:pt idx="90">
                  <c:v>68.594085608539274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31-47AE-9ECB-E5D9FD6B6196}"/>
            </c:ext>
          </c:extLst>
        </c:ser>
        <c:ser>
          <c:idx val="14"/>
          <c:order val="14"/>
          <c:tx>
            <c:strRef>
              <c:f>'Challenge 11a'!$Q$7</c:f>
              <c:strCache>
                <c:ptCount val="1"/>
                <c:pt idx="0">
                  <c:v>Sec Cyan</c:v>
                </c:pt>
              </c:strCache>
            </c:strRef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11a'!$Q$8:$Q$98</c:f>
              <c:numCache>
                <c:formatCode>0.00</c:formatCode>
                <c:ptCount val="91"/>
                <c:pt idx="0">
                  <c:v>180</c:v>
                </c:pt>
                <c:pt idx="1">
                  <c:v>177.50571813178632</c:v>
                </c:pt>
                <c:pt idx="2">
                  <c:v>175.0120373374088</c:v>
                </c:pt>
                <c:pt idx="3">
                  <c:v>172.5195594323923</c:v>
                </c:pt>
                <c:pt idx="4">
                  <c:v>170.02888771682834</c:v>
                </c:pt>
                <c:pt idx="5">
                  <c:v>167.5406277206302</c:v>
                </c:pt>
                <c:pt idx="6">
                  <c:v>165.05538795235054</c:v>
                </c:pt>
                <c:pt idx="7">
                  <c:v>162.57378065274298</c:v>
                </c:pt>
                <c:pt idx="8">
                  <c:v>160.09642255424305</c:v>
                </c:pt>
                <c:pt idx="9">
                  <c:v>157.62393564753685</c:v>
                </c:pt>
                <c:pt idx="10">
                  <c:v>155.15694795637623</c:v>
                </c:pt>
                <c:pt idx="11">
                  <c:v>152.69609432178609</c:v>
                </c:pt>
                <c:pt idx="12">
                  <c:v>150.2420171967961</c:v>
                </c:pt>
                <c:pt idx="13">
                  <c:v>147.79536745280916</c:v>
                </c:pt>
                <c:pt idx="14">
                  <c:v>145.35680519869689</c:v>
                </c:pt>
                <c:pt idx="15">
                  <c:v>142.92700061368555</c:v>
                </c:pt>
                <c:pt idx="16">
                  <c:v>140.50663479506215</c:v>
                </c:pt>
                <c:pt idx="17">
                  <c:v>138.09640062169319</c:v>
                </c:pt>
                <c:pt idx="18">
                  <c:v>135.69700363429976</c:v>
                </c:pt>
                <c:pt idx="19">
                  <c:v>133.30916293337964</c:v>
                </c:pt>
                <c:pt idx="20">
                  <c:v>130.93361209560243</c:v>
                </c:pt>
                <c:pt idx="21">
                  <c:v>128.57110010942739</c:v>
                </c:pt>
                <c:pt idx="22">
                  <c:v>126.22239233060598</c:v>
                </c:pt>
                <c:pt idx="23">
                  <c:v>123.88827145812951</c:v>
                </c:pt>
                <c:pt idx="24">
                  <c:v>121.56953853106262</c:v>
                </c:pt>
                <c:pt idx="25">
                  <c:v>119.26701394656826</c:v>
                </c:pt>
                <c:pt idx="26">
                  <c:v>116.98153849927147</c:v>
                </c:pt>
                <c:pt idx="27">
                  <c:v>114.71397444193103</c:v>
                </c:pt>
                <c:pt idx="28">
                  <c:v>112.46520656718209</c:v>
                </c:pt>
                <c:pt idx="29">
                  <c:v>110.23614330988026</c:v>
                </c:pt>
                <c:pt idx="30">
                  <c:v>108.0277178693126</c:v>
                </c:pt>
                <c:pt idx="31">
                  <c:v>105.84088935024178</c:v>
                </c:pt>
                <c:pt idx="32">
                  <c:v>103.67664392141367</c:v>
                </c:pt>
                <c:pt idx="33">
                  <c:v>101.53599598977732</c:v>
                </c:pt>
                <c:pt idx="34">
                  <c:v>99.419989388244716</c:v>
                </c:pt>
                <c:pt idx="35">
                  <c:v>97.329698574341251</c:v>
                </c:pt>
                <c:pt idx="36">
                  <c:v>95.266229836571682</c:v>
                </c:pt>
                <c:pt idx="37">
                  <c:v>93.230722504740754</c:v>
                </c:pt>
                <c:pt idx="38">
                  <c:v>91.224350159820062</c:v>
                </c:pt>
                <c:pt idx="39">
                  <c:v>89.248321838239889</c:v>
                </c:pt>
                <c:pt idx="40">
                  <c:v>87.303883224703497</c:v>
                </c:pt>
                <c:pt idx="41">
                  <c:v>85.392317826763986</c:v>
                </c:pt>
                <c:pt idx="42">
                  <c:v>83.514948123475278</c:v>
                </c:pt>
                <c:pt idx="43">
                  <c:v>81.673136679418832</c:v>
                </c:pt>
                <c:pt idx="44">
                  <c:v>79.8682872143211</c:v>
                </c:pt>
                <c:pt idx="45">
                  <c:v>78.101845617311142</c:v>
                </c:pt>
                <c:pt idx="46">
                  <c:v>76.375300893626587</c:v>
                </c:pt>
                <c:pt idx="47">
                  <c:v>74.690186030259696</c:v>
                </c:pt>
                <c:pt idx="48">
                  <c:v>73.048078765655561</c:v>
                </c:pt>
                <c:pt idx="49">
                  <c:v>71.450602247134867</c:v>
                </c:pt>
                <c:pt idx="50">
                  <c:v>69.899425558229979</c:v>
                </c:pt>
                <c:pt idx="51">
                  <c:v>68.39626409660886</c:v>
                </c:pt>
                <c:pt idx="52">
                  <c:v>66.94287978174151</c:v>
                </c:pt>
                <c:pt idx="53">
                  <c:v>65.541081069957556</c:v>
                </c:pt>
                <c:pt idx="54">
                  <c:v>64.192722753086315</c:v>
                </c:pt>
                <c:pt idx="55">
                  <c:v>62.899705515499818</c:v>
                </c:pt>
                <c:pt idx="56">
                  <c:v>61.663975223132951</c:v>
                </c:pt>
                <c:pt idx="57">
                  <c:v>60.487521916989891</c:v>
                </c:pt>
                <c:pt idx="58">
                  <c:v>59.372378482810973</c:v>
                </c:pt>
                <c:pt idx="59">
                  <c:v>58.320618968040179</c:v>
                </c:pt>
                <c:pt idx="60">
                  <c:v>57.334356517064094</c:v>
                </c:pt>
                <c:pt idx="61">
                  <c:v>56.415740895965001</c:v>
                </c:pt>
                <c:pt idx="62">
                  <c:v>55.566955578823297</c:v>
                </c:pt>
                <c:pt idx="63">
                  <c:v>54.790214369001063</c:v>
                </c:pt>
                <c:pt idx="64">
                  <c:v>54.087757530914189</c:v>
                </c:pt>
                <c:pt idx="65">
                  <c:v>53.46184741064161</c:v>
                </c:pt>
                <c:pt idx="66">
                  <c:v>52.914763527399487</c:v>
                </c:pt>
                <c:pt idx="67">
                  <c:v>52.448797122478709</c:v>
                </c:pt>
                <c:pt idx="68">
                  <c:v>52.066245157766787</c:v>
                </c:pt>
                <c:pt idx="69">
                  <c:v>51.769403762467448</c:v>
                </c:pt>
                <c:pt idx="70">
                  <c:v>51.560561134099999</c:v>
                </c:pt>
                <c:pt idx="71">
                  <c:v>51.441989908272888</c:v>
                </c:pt>
                <c:pt idx="72">
                  <c:v>51.415939021018914</c:v>
                </c:pt>
                <c:pt idx="73">
                  <c:v>51.484625097548019</c:v>
                </c:pt>
                <c:pt idx="74">
                  <c:v>51.650223411955949</c:v>
                </c:pt>
                <c:pt idx="75">
                  <c:v>51.914858473545507</c:v>
                </c:pt>
                <c:pt idx="76">
                  <c:v>52.280594306701403</c:v>
                </c:pt>
                <c:pt idx="77">
                  <c:v>52.749424502449983</c:v>
                </c:pt>
                <c:pt idx="78">
                  <c:v>53.323262130577916</c:v>
                </c:pt>
                <c:pt idx="79">
                  <c:v>54.003929611142382</c:v>
                </c:pt>
                <c:pt idx="80">
                  <c:v>54.793148652994319</c:v>
                </c:pt>
                <c:pt idx="81">
                  <c:v>55.692530374170872</c:v>
                </c:pt>
                <c:pt idx="82">
                  <c:v>56.703565724338716</c:v>
                </c:pt>
                <c:pt idx="83">
                  <c:v>57.827616332531136</c:v>
                </c:pt>
                <c:pt idx="84">
                  <c:v>59.065905903946941</c:v>
                </c:pt>
                <c:pt idx="85">
                  <c:v>60.419512287333191</c:v>
                </c:pt>
                <c:pt idx="86">
                  <c:v>61.88936032934032</c:v>
                </c:pt>
                <c:pt idx="87">
                  <c:v>63.476215624165889</c:v>
                </c:pt>
                <c:pt idx="88">
                  <c:v>65.180679255886787</c:v>
                </c:pt>
                <c:pt idx="89">
                  <c:v>67.003183617288869</c:v>
                </c:pt>
                <c:pt idx="90">
                  <c:v>68.943989373058173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31-47AE-9ECB-E5D9FD6B6196}"/>
            </c:ext>
          </c:extLst>
        </c:ser>
        <c:ser>
          <c:idx val="15"/>
          <c:order val="15"/>
          <c:tx>
            <c:strRef>
              <c:f>'Challenge 11a'!$R$7</c:f>
              <c:strCache>
                <c:ptCount val="1"/>
                <c:pt idx="0">
                  <c:v>Sec Blue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11a'!$R$8:$R$98</c:f>
              <c:numCache>
                <c:formatCode>0.00</c:formatCode>
                <c:ptCount val="91"/>
                <c:pt idx="0">
                  <c:v>180</c:v>
                </c:pt>
                <c:pt idx="1">
                  <c:v>177.50975453733932</c:v>
                </c:pt>
                <c:pt idx="2">
                  <c:v>175.02011098661509</c:v>
                </c:pt>
                <c:pt idx="3">
                  <c:v>172.5316720008224</c:v>
                </c:pt>
                <c:pt idx="4">
                  <c:v>170.04504171625507</c:v>
                </c:pt>
                <c:pt idx="5">
                  <c:v>167.56082649710822</c:v>
                </c:pt>
                <c:pt idx="6">
                  <c:v>165.07963568362064</c:v>
                </c:pt>
                <c:pt idx="7">
                  <c:v>162.60208234493058</c:v>
                </c:pt>
                <c:pt idx="8">
                  <c:v>160.12878403781289</c:v>
                </c:pt>
                <c:pt idx="9">
                  <c:v>157.66036357245733</c:v>
                </c:pt>
                <c:pt idx="10">
                  <c:v>155.19744978643854</c:v>
                </c:pt>
                <c:pt idx="11">
                  <c:v>152.74067832801484</c:v>
                </c:pt>
                <c:pt idx="12">
                  <c:v>150.29069244987897</c:v>
                </c:pt>
                <c:pt idx="13">
                  <c:v>147.84814381446336</c:v>
                </c:pt>
                <c:pt idx="14">
                  <c:v>145.41369331188105</c:v>
                </c:pt>
                <c:pt idx="15">
                  <c:v>142.98801189155495</c:v>
                </c:pt>
                <c:pt idx="16">
                  <c:v>140.57178140855427</c:v>
                </c:pt>
                <c:pt idx="17">
                  <c:v>138.16569548561949</c:v>
                </c:pt>
                <c:pt idx="18">
                  <c:v>135.7704603918074</c:v>
                </c:pt>
                <c:pt idx="19">
                  <c:v>133.38679593863469</c:v>
                </c:pt>
                <c:pt idx="20">
                  <c:v>131.01543639453223</c:v>
                </c:pt>
                <c:pt idx="21">
                  <c:v>128.65713141834635</c:v>
                </c:pt>
                <c:pt idx="22">
                  <c:v>126.31264701253464</c:v>
                </c:pt>
                <c:pt idx="23">
                  <c:v>123.98276649660031</c:v>
                </c:pt>
                <c:pt idx="24">
                  <c:v>121.66829150119129</c:v>
                </c:pt>
                <c:pt idx="25">
                  <c:v>119.37004298315181</c:v>
                </c:pt>
                <c:pt idx="26">
                  <c:v>117.08886226165654</c:v>
                </c:pt>
                <c:pt idx="27">
                  <c:v>114.82561207537864</c:v>
                </c:pt>
                <c:pt idx="28">
                  <c:v>112.58117766043536</c:v>
                </c:pt>
                <c:pt idx="29">
                  <c:v>110.35646784862288</c:v>
                </c:pt>
                <c:pt idx="30">
                  <c:v>108.15241618518564</c:v>
                </c:pt>
                <c:pt idx="31">
                  <c:v>105.96998206506643</c:v>
                </c:pt>
                <c:pt idx="32">
                  <c:v>103.8101518862469</c:v>
                </c:pt>
                <c:pt idx="33">
                  <c:v>101.67394021840724</c:v>
                </c:pt>
                <c:pt idx="34">
                  <c:v>99.562390984712408</c:v>
                </c:pt>
                <c:pt idx="35">
                  <c:v>97.476578654055459</c:v>
                </c:pt>
                <c:pt idx="36">
                  <c:v>95.417609440564746</c:v>
                </c:pt>
                <c:pt idx="37">
                  <c:v>93.386622506596353</c:v>
                </c:pt>
                <c:pt idx="38">
                  <c:v>91.384791164786748</c:v>
                </c:pt>
                <c:pt idx="39">
                  <c:v>89.413324074032175</c:v>
                </c:pt>
                <c:pt idx="40">
                  <c:v>87.473466423480374</c:v>
                </c:pt>
                <c:pt idx="41">
                  <c:v>85.566501097767883</c:v>
                </c:pt>
                <c:pt idx="42">
                  <c:v>83.69374981581305</c:v>
                </c:pt>
                <c:pt idx="43">
                  <c:v>81.856574234467445</c:v>
                </c:pt>
                <c:pt idx="44">
                  <c:v>80.056377007250887</c:v>
                </c:pt>
                <c:pt idx="45">
                  <c:v>78.294602787237409</c:v>
                </c:pt>
                <c:pt idx="46">
                  <c:v>76.572739161923892</c:v>
                </c:pt>
                <c:pt idx="47">
                  <c:v>74.892317506611676</c:v>
                </c:pt>
                <c:pt idx="48">
                  <c:v>73.254913741459234</c:v>
                </c:pt>
                <c:pt idx="49">
                  <c:v>71.662148975941562</c:v>
                </c:pt>
                <c:pt idx="50">
                  <c:v>70.115690022980118</c:v>
                </c:pt>
                <c:pt idx="51">
                  <c:v>68.617249763512035</c:v>
                </c:pt>
                <c:pt idx="52">
                  <c:v>67.168587340765242</c:v>
                </c:pt>
                <c:pt idx="53">
                  <c:v>65.771508162020552</c:v>
                </c:pt>
                <c:pt idx="54">
                  <c:v>64.427863684206045</c:v>
                </c:pt>
                <c:pt idx="55">
                  <c:v>63.139550958322758</c:v>
                </c:pt>
                <c:pt idx="56">
                  <c:v>61.908511906478083</c:v>
                </c:pt>
                <c:pt idx="57">
                  <c:v>60.736732304264194</c:v>
                </c:pt>
                <c:pt idx="58">
                  <c:v>59.626240440409958</c:v>
                </c:pt>
                <c:pt idx="59">
                  <c:v>58.579105425127636</c:v>
                </c:pt>
                <c:pt idx="60">
                  <c:v>57.59743511842845</c:v>
                </c:pt>
                <c:pt idx="61">
                  <c:v>56.683373649980979</c:v>
                </c:pt>
                <c:pt idx="62">
                  <c:v>55.839098502895183</c:v>
                </c:pt>
                <c:pt idx="63">
                  <c:v>55.066817135229144</c:v>
                </c:pt>
                <c:pt idx="64">
                  <c:v>54.368763115104173</c:v>
                </c:pt>
                <c:pt idx="65">
                  <c:v>53.747191748159082</c:v>
                </c:pt>
                <c:pt idx="66">
                  <c:v>53.204375179747387</c:v>
                </c:pt>
                <c:pt idx="67">
                  <c:v>52.742596958842228</c:v>
                </c:pt>
                <c:pt idx="68">
                  <c:v>52.36414605611003</c:v>
                </c:pt>
                <c:pt idx="69">
                  <c:v>52.071310335068631</c:v>
                </c:pt>
                <c:pt idx="70">
                  <c:v>51.866369482661526</c:v>
                </c:pt>
                <c:pt idx="71">
                  <c:v>51.751587413930338</c:v>
                </c:pt>
                <c:pt idx="72">
                  <c:v>51.729204174675715</c:v>
                </c:pt>
                <c:pt idx="73">
                  <c:v>51.801427375966966</c:v>
                </c:pt>
                <c:pt idx="74">
                  <c:v>51.970423204938641</c:v>
                </c:pt>
                <c:pt idx="75">
                  <c:v>52.238307067296887</c:v>
                </c:pt>
                <c:pt idx="76">
                  <c:v>52.607133928118174</c:v>
                </c:pt>
                <c:pt idx="77">
                  <c:v>53.078888428560902</c:v>
                </c:pt>
                <c:pt idx="78">
                  <c:v>53.655474866714712</c:v>
                </c:pt>
                <c:pt idx="79">
                  <c:v>54.338707140621295</c:v>
                </c:pt>
                <c:pt idx="80">
                  <c:v>55.130298760155142</c:v>
                </c:pt>
                <c:pt idx="81">
                  <c:v>56.031853041558918</c:v>
                </c:pt>
                <c:pt idx="82">
                  <c:v>57.04485360365112</c:v>
                </c:pt>
                <c:pt idx="83">
                  <c:v>58.170655287700015</c:v>
                </c:pt>
                <c:pt idx="84">
                  <c:v>59.410475623434309</c:v>
                </c:pt>
                <c:pt idx="85">
                  <c:v>60.765386961399884</c:v>
                </c:pt>
                <c:pt idx="86">
                  <c:v>62.236309386757739</c:v>
                </c:pt>
                <c:pt idx="87">
                  <c:v>63.824004521615052</c:v>
                </c:pt>
                <c:pt idx="88">
                  <c:v>65.529070312160115</c:v>
                </c:pt>
                <c:pt idx="89">
                  <c:v>67.351936883434121</c:v>
                </c:pt>
                <c:pt idx="90">
                  <c:v>69.292863528794726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31-47AE-9ECB-E5D9FD6B6196}"/>
            </c:ext>
          </c:extLst>
        </c:ser>
        <c:ser>
          <c:idx val="16"/>
          <c:order val="16"/>
          <c:tx>
            <c:strRef>
              <c:f>'Challenge 11a'!$S$7</c:f>
              <c:strCache>
                <c:ptCount val="1"/>
                <c:pt idx="0">
                  <c:v>Sec Violet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'Challenge 11a'!$S$8:$S$98</c:f>
              <c:numCache>
                <c:formatCode>0.00</c:formatCode>
                <c:ptCount val="91"/>
                <c:pt idx="0">
                  <c:v>180</c:v>
                </c:pt>
                <c:pt idx="1">
                  <c:v>177.51914467930465</c:v>
                </c:pt>
                <c:pt idx="2">
                  <c:v>175.03889320589948</c:v>
                </c:pt>
                <c:pt idx="3">
                  <c:v>172.5598501666376</c:v>
                </c:pt>
                <c:pt idx="4">
                  <c:v>170.08262162866205</c:v>
                </c:pt>
                <c:pt idx="5">
                  <c:v>167.60781588246033</c:v>
                </c:pt>
                <c:pt idx="6">
                  <c:v>165.13604418840615</c:v>
                </c:pt>
                <c:pt idx="7">
                  <c:v>162.66792152794395</c:v>
                </c:pt>
                <c:pt idx="8">
                  <c:v>160.2040673605658</c:v>
                </c:pt>
                <c:pt idx="9">
                  <c:v>157.74510638772165</c:v>
                </c:pt>
                <c:pt idx="10">
                  <c:v>155.2916693247937</c:v>
                </c:pt>
                <c:pt idx="11">
                  <c:v>152.84439368225247</c:v>
                </c:pt>
                <c:pt idx="12">
                  <c:v>150.40392455709571</c:v>
                </c:pt>
                <c:pt idx="13">
                  <c:v>147.97091543565256</c:v>
                </c:pt>
                <c:pt idx="14">
                  <c:v>145.54602900880934</c:v>
                </c:pt>
                <c:pt idx="15">
                  <c:v>143.12993800068705</c:v>
                </c:pt>
                <c:pt idx="16">
                  <c:v>140.72332601176453</c:v>
                </c:pt>
                <c:pt idx="17">
                  <c:v>138.32688837740093</c:v>
                </c:pt>
                <c:pt idx="18">
                  <c:v>135.9413330426633</c:v>
                </c:pt>
                <c:pt idx="19">
                  <c:v>133.56738145430666</c:v>
                </c:pt>
                <c:pt idx="20">
                  <c:v>131.20576947069026</c:v>
                </c:pt>
                <c:pt idx="21">
                  <c:v>128.85724829033236</c:v>
                </c:pt>
                <c:pt idx="22">
                  <c:v>126.52258539971838</c:v>
                </c:pt>
                <c:pt idx="23">
                  <c:v>124.20256554087112</c:v>
                </c:pt>
                <c:pt idx="24">
                  <c:v>121.89799169907185</c:v>
                </c:pt>
                <c:pt idx="25">
                  <c:v>119.60968611098107</c:v>
                </c:pt>
                <c:pt idx="26">
                  <c:v>117.33849129325043</c:v>
                </c:pt>
                <c:pt idx="27">
                  <c:v>115.08527109153282</c:v>
                </c:pt>
                <c:pt idx="28">
                  <c:v>112.8509117495942</c:v>
                </c:pt>
                <c:pt idx="29">
                  <c:v>110.63632299799147</c:v>
                </c:pt>
                <c:pt idx="30">
                  <c:v>108.44243916151834</c:v>
                </c:pt>
                <c:pt idx="31">
                  <c:v>106.2702202843187</c:v>
                </c:pt>
                <c:pt idx="32">
                  <c:v>104.12065327122991</c:v>
                </c:pt>
                <c:pt idx="33">
                  <c:v>101.99475304353953</c:v>
                </c:pt>
                <c:pt idx="34">
                  <c:v>99.893563706915785</c:v>
                </c:pt>
                <c:pt idx="35">
                  <c:v>97.818159728798719</c:v>
                </c:pt>
                <c:pt idx="36">
                  <c:v>95.769647122015613</c:v>
                </c:pt>
                <c:pt idx="37">
                  <c:v>93.749164630802397</c:v>
                </c:pt>
                <c:pt idx="38">
                  <c:v>91.757884914771722</c:v>
                </c:pt>
                <c:pt idx="39">
                  <c:v>89.79701572566222</c:v>
                </c:pt>
                <c:pt idx="40">
                  <c:v>87.86780107093341</c:v>
                </c:pt>
                <c:pt idx="41">
                  <c:v>85.971522357423595</c:v>
                </c:pt>
                <c:pt idx="42">
                  <c:v>84.109499507376398</c:v>
                </c:pt>
                <c:pt idx="43">
                  <c:v>82.283092038148197</c:v>
                </c:pt>
                <c:pt idx="44">
                  <c:v>80.493700095844588</c:v>
                </c:pt>
                <c:pt idx="45">
                  <c:v>78.742765431993973</c:v>
                </c:pt>
                <c:pt idx="46">
                  <c:v>77.031772311152253</c:v>
                </c:pt>
                <c:pt idx="47">
                  <c:v>75.362248336055217</c:v>
                </c:pt>
                <c:pt idx="48">
                  <c:v>73.735765175589279</c:v>
                </c:pt>
                <c:pt idx="49">
                  <c:v>72.153939179459911</c:v>
                </c:pt>
                <c:pt idx="50">
                  <c:v>70.618431862002211</c:v>
                </c:pt>
                <c:pt idx="51">
                  <c:v>69.130950236118167</c:v>
                </c:pt>
                <c:pt idx="52">
                  <c:v>67.693246976870114</c:v>
                </c:pt>
                <c:pt idx="53">
                  <c:v>66.307120392816046</c:v>
                </c:pt>
                <c:pt idx="54">
                  <c:v>64.974414181792753</c:v>
                </c:pt>
                <c:pt idx="55">
                  <c:v>63.697016946554811</c:v>
                </c:pt>
                <c:pt idx="56">
                  <c:v>62.476861444515521</c:v>
                </c:pt>
                <c:pt idx="57">
                  <c:v>61.31592354485187</c:v>
                </c:pt>
                <c:pt idx="58">
                  <c:v>60.216220865488594</c:v>
                </c:pt>
                <c:pt idx="59">
                  <c:v>59.179811062026943</c:v>
                </c:pt>
                <c:pt idx="60">
                  <c:v>58.208789740593119</c:v>
                </c:pt>
                <c:pt idx="61">
                  <c:v>57.305287966933378</c:v>
                </c:pt>
                <c:pt idx="62">
                  <c:v>56.471469344939493</c:v>
                </c:pt>
                <c:pt idx="63">
                  <c:v>55.709526639237509</c:v>
                </c:pt>
                <c:pt idx="64">
                  <c:v>55.021677918585311</c:v>
                </c:pt>
                <c:pt idx="65">
                  <c:v>54.410162199682503</c:v>
                </c:pt>
                <c:pt idx="66">
                  <c:v>53.877234574653642</c:v>
                </c:pt>
                <c:pt idx="67">
                  <c:v>53.425160810000307</c:v>
                </c:pt>
                <c:pt idx="68">
                  <c:v>53.056211410250057</c:v>
                </c:pt>
                <c:pt idx="69">
                  <c:v>52.772655145903286</c:v>
                </c:pt>
                <c:pt idx="70">
                  <c:v>52.576752052571919</c:v>
                </c:pt>
                <c:pt idx="71">
                  <c:v>52.470745916403132</c:v>
                </c:pt>
                <c:pt idx="72">
                  <c:v>52.456856269901039</c:v>
                </c:pt>
                <c:pt idx="73">
                  <c:v>52.537269932011156</c:v>
                </c:pt>
                <c:pt idx="74">
                  <c:v>52.714132136648516</c:v>
                </c:pt>
                <c:pt idx="75">
                  <c:v>52.989537304560429</c:v>
                </c:pt>
                <c:pt idx="76">
                  <c:v>53.365519524257309</c:v>
                </c:pt>
                <c:pt idx="77">
                  <c:v>53.844042818465255</c:v>
                </c:pt>
                <c:pt idx="78">
                  <c:v>54.426991282823451</c:v>
                </c:pt>
                <c:pt idx="79">
                  <c:v>55.116159193031422</c:v>
                </c:pt>
                <c:pt idx="80">
                  <c:v>55.91324118499</c:v>
                </c:pt>
                <c:pt idx="81">
                  <c:v>56.819822619309434</c:v>
                </c:pt>
                <c:pt idx="82">
                  <c:v>57.837370246534988</c:v>
                </c:pt>
                <c:pt idx="83">
                  <c:v>58.967223292237748</c:v>
                </c:pt>
                <c:pt idx="84">
                  <c:v>60.210585081480531</c:v>
                </c:pt>
                <c:pt idx="85">
                  <c:v>61.568515319873427</c:v>
                </c:pt>
                <c:pt idx="86">
                  <c:v>63.041923143373822</c:v>
                </c:pt>
                <c:pt idx="87">
                  <c:v>64.631561041125281</c:v>
                </c:pt>
                <c:pt idx="88">
                  <c:v>66.338019745052748</c:v>
                </c:pt>
                <c:pt idx="89">
                  <c:v>68.161724166808369</c:v>
                </c:pt>
                <c:pt idx="90">
                  <c:v>70.102930447300935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31-47AE-9ECB-E5D9FD6B6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871248"/>
        <c:axId val="1850871728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'Challenge 11a'!$J$7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'Challenge 11a'!$J$8:$J$98</c15:sqref>
                        </c15:formulaRef>
                      </c:ext>
                    </c:extLst>
                    <c:numCache>
                      <c:formatCode>General</c:formatCode>
                      <c:ptCount val="9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2F31-47AE-9ECB-E5D9FD6B619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'Challenge 11a'!$K$7</c15:sqref>
                        </c15:formulaRef>
                      </c:ext>
                    </c:extLst>
                    <c:strCache>
                      <c:ptCount val="1"/>
                      <c:pt idx="0">
                        <c:v>Theta (Deg)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'Challenge 11a'!$K$8:$K$98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F31-47AE-9ECB-E5D9FD6B619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'Challenge 11a'!$L$7</c15:sqref>
                        </c15:formulaRef>
                      </c:ext>
                    </c:extLst>
                    <c:strCache>
                      <c:ptCount val="1"/>
                      <c:pt idx="0">
                        <c:v>Theta (Rad)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'Challenge 11a'!$L$8:$L$98</c15:sqref>
                        </c15:formulaRef>
                      </c:ext>
                    </c:extLst>
                    <c:numCache>
                      <c:formatCode>0.00</c:formatCode>
                      <c:ptCount val="91"/>
                      <c:pt idx="0">
                        <c:v>0</c:v>
                      </c:pt>
                      <c:pt idx="1">
                        <c:v>1.7453292519943295E-2</c:v>
                      </c:pt>
                      <c:pt idx="2">
                        <c:v>3.4906585039886591E-2</c:v>
                      </c:pt>
                      <c:pt idx="3">
                        <c:v>5.2359877559829883E-2</c:v>
                      </c:pt>
                      <c:pt idx="4">
                        <c:v>6.9813170079773182E-2</c:v>
                      </c:pt>
                      <c:pt idx="5">
                        <c:v>8.7266462599716474E-2</c:v>
                      </c:pt>
                      <c:pt idx="6">
                        <c:v>0.10471975511965977</c:v>
                      </c:pt>
                      <c:pt idx="7">
                        <c:v>0.12217304763960307</c:v>
                      </c:pt>
                      <c:pt idx="8">
                        <c:v>0.13962634015954636</c:v>
                      </c:pt>
                      <c:pt idx="9">
                        <c:v>0.15707963267948966</c:v>
                      </c:pt>
                      <c:pt idx="10">
                        <c:v>0.17453292519943295</c:v>
                      </c:pt>
                      <c:pt idx="11">
                        <c:v>0.19198621771937624</c:v>
                      </c:pt>
                      <c:pt idx="12">
                        <c:v>0.20943951023931953</c:v>
                      </c:pt>
                      <c:pt idx="13">
                        <c:v>0.22689280275926285</c:v>
                      </c:pt>
                      <c:pt idx="14">
                        <c:v>0.24434609527920614</c:v>
                      </c:pt>
                      <c:pt idx="15">
                        <c:v>0.26179938779914941</c:v>
                      </c:pt>
                      <c:pt idx="16">
                        <c:v>0.27925268031909273</c:v>
                      </c:pt>
                      <c:pt idx="17">
                        <c:v>0.29670597283903605</c:v>
                      </c:pt>
                      <c:pt idx="18">
                        <c:v>0.31415926535897931</c:v>
                      </c:pt>
                      <c:pt idx="19">
                        <c:v>0.33161255787892258</c:v>
                      </c:pt>
                      <c:pt idx="20">
                        <c:v>0.3490658503988659</c:v>
                      </c:pt>
                      <c:pt idx="21">
                        <c:v>0.36651914291880922</c:v>
                      </c:pt>
                      <c:pt idx="22">
                        <c:v>0.38397243543875248</c:v>
                      </c:pt>
                      <c:pt idx="23">
                        <c:v>0.40142572795869574</c:v>
                      </c:pt>
                      <c:pt idx="24">
                        <c:v>0.41887902047863906</c:v>
                      </c:pt>
                      <c:pt idx="25">
                        <c:v>0.43633231299858238</c:v>
                      </c:pt>
                      <c:pt idx="26">
                        <c:v>0.4537856055185257</c:v>
                      </c:pt>
                      <c:pt idx="27">
                        <c:v>0.47123889803846897</c:v>
                      </c:pt>
                      <c:pt idx="28">
                        <c:v>0.48869219055841229</c:v>
                      </c:pt>
                      <c:pt idx="29">
                        <c:v>0.50614548307835561</c:v>
                      </c:pt>
                      <c:pt idx="30">
                        <c:v>0.52359877559829882</c:v>
                      </c:pt>
                      <c:pt idx="31">
                        <c:v>0.54105206811824214</c:v>
                      </c:pt>
                      <c:pt idx="32">
                        <c:v>0.55850536063818546</c:v>
                      </c:pt>
                      <c:pt idx="33">
                        <c:v>0.57595865315812877</c:v>
                      </c:pt>
                      <c:pt idx="34">
                        <c:v>0.59341194567807209</c:v>
                      </c:pt>
                      <c:pt idx="35">
                        <c:v>0.6108652381980153</c:v>
                      </c:pt>
                      <c:pt idx="36">
                        <c:v>0.62831853071795862</c:v>
                      </c:pt>
                      <c:pt idx="37">
                        <c:v>0.64577182323790194</c:v>
                      </c:pt>
                      <c:pt idx="38">
                        <c:v>0.66322511575784515</c:v>
                      </c:pt>
                      <c:pt idx="39">
                        <c:v>0.68067840827778847</c:v>
                      </c:pt>
                      <c:pt idx="40">
                        <c:v>0.69813170079773179</c:v>
                      </c:pt>
                      <c:pt idx="41">
                        <c:v>0.715584993317675</c:v>
                      </c:pt>
                      <c:pt idx="42">
                        <c:v>0.73303828583761843</c:v>
                      </c:pt>
                      <c:pt idx="43">
                        <c:v>0.75049157835756164</c:v>
                      </c:pt>
                      <c:pt idx="44">
                        <c:v>0.76794487087750496</c:v>
                      </c:pt>
                      <c:pt idx="45">
                        <c:v>0.78539816339744828</c:v>
                      </c:pt>
                      <c:pt idx="46">
                        <c:v>0.80285145591739149</c:v>
                      </c:pt>
                      <c:pt idx="47">
                        <c:v>0.82030474843733492</c:v>
                      </c:pt>
                      <c:pt idx="48">
                        <c:v>0.83775804095727813</c:v>
                      </c:pt>
                      <c:pt idx="49">
                        <c:v>0.85521133347722145</c:v>
                      </c:pt>
                      <c:pt idx="50">
                        <c:v>0.87266462599716477</c:v>
                      </c:pt>
                      <c:pt idx="51">
                        <c:v>0.89011791851710798</c:v>
                      </c:pt>
                      <c:pt idx="52">
                        <c:v>0.90757121103705141</c:v>
                      </c:pt>
                      <c:pt idx="53">
                        <c:v>0.92502450355699462</c:v>
                      </c:pt>
                      <c:pt idx="54">
                        <c:v>0.94247779607693793</c:v>
                      </c:pt>
                      <c:pt idx="55">
                        <c:v>0.95993108859688125</c:v>
                      </c:pt>
                      <c:pt idx="56">
                        <c:v>0.97738438111682457</c:v>
                      </c:pt>
                      <c:pt idx="57">
                        <c:v>0.99483767363676778</c:v>
                      </c:pt>
                      <c:pt idx="58">
                        <c:v>1.0122909661567112</c:v>
                      </c:pt>
                      <c:pt idx="59">
                        <c:v>1.0297442586766543</c:v>
                      </c:pt>
                      <c:pt idx="60">
                        <c:v>1.0471975511965976</c:v>
                      </c:pt>
                      <c:pt idx="61">
                        <c:v>1.064650843716541</c:v>
                      </c:pt>
                      <c:pt idx="62">
                        <c:v>1.0821041362364843</c:v>
                      </c:pt>
                      <c:pt idx="63">
                        <c:v>1.0995574287564276</c:v>
                      </c:pt>
                      <c:pt idx="64">
                        <c:v>1.1170107212763709</c:v>
                      </c:pt>
                      <c:pt idx="65">
                        <c:v>1.1344640137963142</c:v>
                      </c:pt>
                      <c:pt idx="66">
                        <c:v>1.1519173063162575</c:v>
                      </c:pt>
                      <c:pt idx="67">
                        <c:v>1.1693705988362006</c:v>
                      </c:pt>
                      <c:pt idx="68">
                        <c:v>1.1868238913561442</c:v>
                      </c:pt>
                      <c:pt idx="69">
                        <c:v>1.2042771838760873</c:v>
                      </c:pt>
                      <c:pt idx="70">
                        <c:v>1.2217304763960306</c:v>
                      </c:pt>
                      <c:pt idx="71">
                        <c:v>1.2391837689159739</c:v>
                      </c:pt>
                      <c:pt idx="72">
                        <c:v>1.2566370614359172</c:v>
                      </c:pt>
                      <c:pt idx="73">
                        <c:v>1.2740903539558606</c:v>
                      </c:pt>
                      <c:pt idx="74">
                        <c:v>1.2915436464758039</c:v>
                      </c:pt>
                      <c:pt idx="75">
                        <c:v>1.3089969389957472</c:v>
                      </c:pt>
                      <c:pt idx="76">
                        <c:v>1.3264502315156903</c:v>
                      </c:pt>
                      <c:pt idx="77">
                        <c:v>1.3439035240356338</c:v>
                      </c:pt>
                      <c:pt idx="78">
                        <c:v>1.3613568165555769</c:v>
                      </c:pt>
                      <c:pt idx="79">
                        <c:v>1.3788101090755203</c:v>
                      </c:pt>
                      <c:pt idx="80">
                        <c:v>1.3962634015954636</c:v>
                      </c:pt>
                      <c:pt idx="81">
                        <c:v>1.4137166941154069</c:v>
                      </c:pt>
                      <c:pt idx="82">
                        <c:v>1.43116998663535</c:v>
                      </c:pt>
                      <c:pt idx="83">
                        <c:v>1.4486232791552935</c:v>
                      </c:pt>
                      <c:pt idx="84">
                        <c:v>1.4660765716752369</c:v>
                      </c:pt>
                      <c:pt idx="85">
                        <c:v>1.4835298641951802</c:v>
                      </c:pt>
                      <c:pt idx="86">
                        <c:v>1.5009831567151233</c:v>
                      </c:pt>
                      <c:pt idx="87">
                        <c:v>1.5184364492350666</c:v>
                      </c:pt>
                      <c:pt idx="88">
                        <c:v>1.5358897417550099</c:v>
                      </c:pt>
                      <c:pt idx="89">
                        <c:v>1.5533430342749535</c:v>
                      </c:pt>
                      <c:pt idx="90">
                        <c:v>1.5707963267948966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F31-47AE-9ECB-E5D9FD6B6196}"/>
                  </c:ext>
                </c:extLst>
              </c15:ser>
            </c15:filteredLineSeries>
          </c:ext>
        </c:extLst>
      </c:lineChart>
      <c:catAx>
        <c:axId val="185087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71728"/>
        <c:crosses val="autoZero"/>
        <c:auto val="0"/>
        <c:lblAlgn val="ctr"/>
        <c:lblOffset val="100"/>
        <c:noMultiLvlLbl val="0"/>
      </c:catAx>
      <c:valAx>
        <c:axId val="1850871728"/>
        <c:scaling>
          <c:orientation val="minMax"/>
          <c:max val="6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7124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806572455731815"/>
          <c:y val="9.7036038692392218E-2"/>
          <c:w val="0.19080747528519221"/>
          <c:h val="0.76259300107501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Descartes'</a:t>
            </a:r>
            <a:r>
              <a:rPr lang="en-GB" b="1" baseline="0"/>
              <a:t> ray model of a spherical raindrop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5004097822781357"/>
          <c:y val="8.009782946195157E-2"/>
          <c:w val="0.5875373849507014"/>
          <c:h val="0.75093090347885316"/>
        </c:manualLayout>
      </c:layout>
      <c:lineChart>
        <c:grouping val="standard"/>
        <c:varyColors val="0"/>
        <c:ser>
          <c:idx val="0"/>
          <c:order val="0"/>
          <c:tx>
            <c:strRef>
              <c:f>'Challenge 11a'!$C$7</c:f>
              <c:strCache>
                <c:ptCount val="1"/>
                <c:pt idx="0">
                  <c:v>Primary Red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11a'!$C$8:$C$98</c:f>
              <c:numCache>
                <c:formatCode>0.00</c:formatCode>
                <c:ptCount val="91"/>
                <c:pt idx="0">
                  <c:v>0</c:v>
                </c:pt>
                <c:pt idx="1">
                  <c:v>1.0051927487739367</c:v>
                </c:pt>
                <c:pt idx="2">
                  <c:v>2.0099866694228714</c:v>
                </c:pt>
                <c:pt idx="3">
                  <c:v>3.013982437994482</c:v>
                </c:pt>
                <c:pt idx="4">
                  <c:v>4.0167797380723123</c:v>
                </c:pt>
                <c:pt idx="5">
                  <c:v>5.0179767625206289</c:v>
                </c:pt>
                <c:pt idx="6">
                  <c:v>6.017169712803824</c:v>
                </c:pt>
                <c:pt idx="7">
                  <c:v>7.0139522950754127</c:v>
                </c:pt>
                <c:pt idx="8">
                  <c:v>8.0079152122352966</c:v>
                </c:pt>
                <c:pt idx="9">
                  <c:v>8.9986456511582809</c:v>
                </c:pt>
                <c:pt idx="10">
                  <c:v>9.9857267643028074</c:v>
                </c:pt>
                <c:pt idx="11">
                  <c:v>10.968737144916126</c:v>
                </c:pt>
                <c:pt idx="12">
                  <c:v>11.947250295061593</c:v>
                </c:pt>
                <c:pt idx="13">
                  <c:v>12.92083408570516</c:v>
                </c:pt>
                <c:pt idx="14">
                  <c:v>13.88905020811179</c:v>
                </c:pt>
                <c:pt idx="15">
                  <c:v>14.851453615820667</c:v>
                </c:pt>
                <c:pt idx="16">
                  <c:v>15.807591956487229</c:v>
                </c:pt>
                <c:pt idx="17">
                  <c:v>16.757004992906197</c:v>
                </c:pt>
                <c:pt idx="18">
                  <c:v>17.699224012558446</c:v>
                </c:pt>
                <c:pt idx="19">
                  <c:v>18.633771225060386</c:v>
                </c:pt>
                <c:pt idx="20">
                  <c:v>19.560159146935078</c:v>
                </c:pt>
                <c:pt idx="21">
                  <c:v>20.477889973174243</c:v>
                </c:pt>
                <c:pt idx="22">
                  <c:v>21.386454935116404</c:v>
                </c:pt>
                <c:pt idx="23">
                  <c:v>22.285333644233603</c:v>
                </c:pt>
                <c:pt idx="24">
                  <c:v>23.173993421495979</c:v>
                </c:pt>
                <c:pt idx="25">
                  <c:v>24.051888612072972</c:v>
                </c:pt>
                <c:pt idx="26">
                  <c:v>24.918459885233077</c:v>
                </c:pt>
                <c:pt idx="27">
                  <c:v>25.773133519421521</c:v>
                </c:pt>
                <c:pt idx="28">
                  <c:v>26.615320672631427</c:v>
                </c:pt>
                <c:pt idx="29">
                  <c:v>27.444416638337032</c:v>
                </c:pt>
                <c:pt idx="30">
                  <c:v>28.259800087434073</c:v>
                </c:pt>
                <c:pt idx="31">
                  <c:v>29.060832296829446</c:v>
                </c:pt>
                <c:pt idx="32">
                  <c:v>29.846856365548106</c:v>
                </c:pt>
                <c:pt idx="33">
                  <c:v>30.617196419476059</c:v>
                </c:pt>
                <c:pt idx="34">
                  <c:v>31.371156806143176</c:v>
                </c:pt>
                <c:pt idx="35">
                  <c:v>32.108021281265295</c:v>
                </c:pt>
                <c:pt idx="36">
                  <c:v>32.827052189119186</c:v>
                </c:pt>
                <c:pt idx="37">
                  <c:v>33.527489639216896</c:v>
                </c:pt>
                <c:pt idx="38">
                  <c:v>34.208550682180643</c:v>
                </c:pt>
                <c:pt idx="39">
                  <c:v>34.869428488200612</c:v>
                </c:pt>
                <c:pt idx="40">
                  <c:v>35.509291531984616</c:v>
                </c:pt>
                <c:pt idx="41">
                  <c:v>36.127282788687737</c:v>
                </c:pt>
                <c:pt idx="42">
                  <c:v>36.722518945940692</c:v>
                </c:pt>
                <c:pt idx="43">
                  <c:v>37.294089637778512</c:v>
                </c:pt>
                <c:pt idx="44">
                  <c:v>37.841056707012953</c:v>
                </c:pt>
                <c:pt idx="45">
                  <c:v>38.362453503382085</c:v>
                </c:pt>
                <c:pt idx="46">
                  <c:v>38.857284225663165</c:v>
                </c:pt>
                <c:pt idx="47">
                  <c:v>39.324523316830039</c:v>
                </c:pt>
                <c:pt idx="48">
                  <c:v>39.763114922288196</c:v>
                </c:pt>
                <c:pt idx="49">
                  <c:v>40.171972422205727</c:v>
                </c:pt>
                <c:pt idx="50">
                  <c:v>40.549978049985299</c:v>
                </c:pt>
                <c:pt idx="51">
                  <c:v>40.895982609968257</c:v>
                </c:pt>
                <c:pt idx="52">
                  <c:v>41.2088053085171</c:v>
                </c:pt>
                <c:pt idx="53">
                  <c:v>41.487233713674271</c:v>
                </c:pt>
                <c:pt idx="54">
                  <c:v>41.730023859615443</c:v>
                </c:pt>
                <c:pt idx="55">
                  <c:v>41.935900513083027</c:v>
                </c:pt>
                <c:pt idx="56">
                  <c:v>42.10355761987438</c:v>
                </c:pt>
                <c:pt idx="57">
                  <c:v>42.231658950226176</c:v>
                </c:pt>
                <c:pt idx="58">
                  <c:v>42.318838962553656</c:v>
                </c:pt>
                <c:pt idx="59">
                  <c:v>42.363703905420181</c:v>
                </c:pt>
                <c:pt idx="60">
                  <c:v>42.364833177781549</c:v>
                </c:pt>
                <c:pt idx="61">
                  <c:v>42.32078096742444</c:v>
                </c:pt>
                <c:pt idx="62">
                  <c:v>42.230078187036725</c:v>
                </c:pt>
                <c:pt idx="63">
                  <c:v>42.091234726456889</c:v>
                </c:pt>
                <c:pt idx="64">
                  <c:v>41.902742038292729</c:v>
                </c:pt>
                <c:pt idx="65">
                  <c:v>41.663076072217592</c:v>
                </c:pt>
                <c:pt idx="66">
                  <c:v>41.370700570795719</c:v>
                </c:pt>
                <c:pt idx="67">
                  <c:v>41.024070736609048</c:v>
                </c:pt>
                <c:pt idx="68">
                  <c:v>40.621637276725096</c:v>
                </c:pt>
                <c:pt idx="69">
                  <c:v>40.16185082613265</c:v>
                </c:pt>
                <c:pt idx="70">
                  <c:v>39.643166746678844</c:v>
                </c:pt>
                <c:pt idx="71">
                  <c:v>39.064050292280797</c:v>
                </c:pt>
                <c:pt idx="72">
                  <c:v>38.422982124808527</c:v>
                </c:pt>
                <c:pt idx="73">
                  <c:v>37.718464158103245</c:v>
                </c:pt>
                <c:pt idx="74">
                  <c:v>36.949025700215657</c:v>
                </c:pt>
                <c:pt idx="75">
                  <c:v>36.113229856260261</c:v>
                </c:pt>
                <c:pt idx="76">
                  <c:v>35.209680146441769</c:v>
                </c:pt>
                <c:pt idx="77">
                  <c:v>34.23702728602953</c:v>
                </c:pt>
                <c:pt idx="78">
                  <c:v>33.193976066553034</c:v>
                </c:pt>
                <c:pt idx="79">
                  <c:v>32.07929227052216</c:v>
                </c:pt>
                <c:pt idx="80">
                  <c:v>30.891809545798708</c:v>
                </c:pt>
                <c:pt idx="81">
                  <c:v>29.630436160630552</c:v>
                </c:pt>
                <c:pt idx="82">
                  <c:v>28.294161556566024</c:v>
                </c:pt>
                <c:pt idx="83">
                  <c:v>26.882062614233519</c:v>
                </c:pt>
                <c:pt idx="84">
                  <c:v>25.393309546503275</c:v>
                </c:pt>
                <c:pt idx="85">
                  <c:v>23.827171335004607</c:v>
                </c:pt>
                <c:pt idx="86">
                  <c:v>22.18302062944494</c:v>
                </c:pt>
                <c:pt idx="87">
                  <c:v>20.460338034701948</c:v>
                </c:pt>
                <c:pt idx="88">
                  <c:v>18.65871571817226</c:v>
                </c:pt>
                <c:pt idx="89">
                  <c:v>16.777860279250149</c:v>
                </c:pt>
                <c:pt idx="90">
                  <c:v>14.817594833842918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A-404D-AD29-E2D177F42268}"/>
            </c:ext>
          </c:extLst>
        </c:ser>
        <c:ser>
          <c:idx val="1"/>
          <c:order val="1"/>
          <c:tx>
            <c:strRef>
              <c:f>'Challenge 11a'!$D$7</c:f>
              <c:strCache>
                <c:ptCount val="1"/>
                <c:pt idx="0">
                  <c:v>Primary Orange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11a'!$D$8:$D$98</c:f>
              <c:numCache>
                <c:formatCode>0.00</c:formatCode>
                <c:ptCount val="91"/>
                <c:pt idx="0">
                  <c:v>0</c:v>
                </c:pt>
                <c:pt idx="1">
                  <c:v>1.0027110272331421</c:v>
                </c:pt>
                <c:pt idx="2">
                  <c:v>2.0050227032990779</c:v>
                </c:pt>
                <c:pt idx="3">
                  <c:v>3.0065351815745327</c:v>
                </c:pt>
                <c:pt idx="4">
                  <c:v>4.006847623719171</c:v>
                </c:pt>
                <c:pt idx="5">
                  <c:v>5.0055577018055537</c:v>
                </c:pt>
                <c:pt idx="6">
                  <c:v>6.0022610980375219</c:v>
                </c:pt>
                <c:pt idx="7">
                  <c:v>6.9965510012568828</c:v>
                </c:pt>
                <c:pt idx="8">
                  <c:v>7.9880175994418927</c:v>
                </c:pt>
                <c:pt idx="9">
                  <c:v>8.9762475674055757</c:v>
                </c:pt>
                <c:pt idx="10">
                  <c:v>9.9608235489079107</c:v>
                </c:pt>
                <c:pt idx="11">
                  <c:v>10.941323632403737</c:v>
                </c:pt>
                <c:pt idx="12">
                  <c:v>11.91732081965722</c:v>
                </c:pt>
                <c:pt idx="13">
                  <c:v>12.888382486465993</c:v>
                </c:pt>
                <c:pt idx="14">
                  <c:v>13.854069834752103</c:v>
                </c:pt>
                <c:pt idx="15">
                  <c:v>14.813937335294227</c:v>
                </c:pt>
                <c:pt idx="16">
                  <c:v>15.767532160396776</c:v>
                </c:pt>
                <c:pt idx="17">
                  <c:v>16.714393605816404</c:v>
                </c:pt>
                <c:pt idx="18">
                  <c:v>17.654052501296761</c:v>
                </c:pt>
                <c:pt idx="19">
                  <c:v>18.586030609097499</c:v>
                </c:pt>
                <c:pt idx="20">
                  <c:v>19.509840009945371</c:v>
                </c:pt>
                <c:pt idx="21">
                  <c:v>20.424982475885102</c:v>
                </c:pt>
                <c:pt idx="22">
                  <c:v>21.330948829564335</c:v>
                </c:pt>
                <c:pt idx="23">
                  <c:v>22.227218289554941</c:v>
                </c:pt>
                <c:pt idx="24">
                  <c:v>23.113257801389722</c:v>
                </c:pt>
                <c:pt idx="25">
                  <c:v>23.988521354083986</c:v>
                </c:pt>
                <c:pt idx="26">
                  <c:v>24.852449282015129</c:v>
                </c:pt>
                <c:pt idx="27">
                  <c:v>25.704467552150618</c:v>
                </c:pt>
                <c:pt idx="28">
                  <c:v>26.543987036752</c:v>
                </c:pt>
                <c:pt idx="29">
                  <c:v>27.370402771836055</c:v>
                </c:pt>
                <c:pt idx="30">
                  <c:v>28.18309320185017</c:v>
                </c:pt>
                <c:pt idx="31">
                  <c:v>28.981419411217772</c:v>
                </c:pt>
                <c:pt idx="32">
                  <c:v>29.764724343633802</c:v>
                </c:pt>
                <c:pt idx="33">
                  <c:v>30.532332010242982</c:v>
                </c:pt>
                <c:pt idx="34">
                  <c:v>31.283546688117227</c:v>
                </c:pt>
                <c:pt idx="35">
                  <c:v>32.017652110764416</c:v>
                </c:pt>
                <c:pt idx="36">
                  <c:v>32.733910652754503</c:v>
                </c:pt>
                <c:pt idx="37">
                  <c:v>33.43156251094085</c:v>
                </c:pt>
                <c:pt idx="38">
                  <c:v>34.109824885188857</c:v>
                </c:pt>
                <c:pt idx="39">
                  <c:v>34.767891162002968</c:v>
                </c:pt>
                <c:pt idx="40">
                  <c:v>35.404930104968713</c:v>
                </c:pt>
                <c:pt idx="41">
                  <c:v>36.020085056503646</c:v>
                </c:pt>
                <c:pt idx="42">
                  <c:v>36.612473156037325</c:v>
                </c:pt>
                <c:pt idx="43">
                  <c:v>37.181184580423079</c:v>
                </c:pt>
                <c:pt idx="44">
                  <c:v>37.725281813117377</c:v>
                </c:pt>
                <c:pt idx="45">
                  <c:v>38.243798949454259</c:v>
                </c:pt>
                <c:pt idx="46">
                  <c:v>38.735741046183477</c:v>
                </c:pt>
                <c:pt idx="47">
                  <c:v>39.200083524333365</c:v>
                </c:pt>
                <c:pt idx="48">
                  <c:v>39.635771635402335</c:v>
                </c:pt>
                <c:pt idx="49">
                  <c:v>40.041720001861364</c:v>
                </c:pt>
                <c:pt idx="50">
                  <c:v>40.416812243963989</c:v>
                </c:pt>
                <c:pt idx="51">
                  <c:v>40.75990070589998</c:v>
                </c:pt>
                <c:pt idx="52">
                  <c:v>41.069806295368664</c:v>
                </c:pt>
                <c:pt idx="53">
                  <c:v>41.34531845168857</c:v>
                </c:pt>
                <c:pt idx="54">
                  <c:v>41.585195258565733</c:v>
                </c:pt>
                <c:pt idx="55">
                  <c:v>41.788163718596394</c:v>
                </c:pt>
                <c:pt idx="56">
                  <c:v>41.952920207450916</c:v>
                </c:pt>
                <c:pt idx="57">
                  <c:v>42.078131126438848</c:v>
                </c:pt>
                <c:pt idx="58">
                  <c:v>42.162433772753786</c:v>
                </c:pt>
                <c:pt idx="59">
                  <c:v>42.204437447096353</c:v>
                </c:pt>
                <c:pt idx="60">
                  <c:v>42.202724818528594</c:v>
                </c:pt>
                <c:pt idx="61">
                  <c:v>42.155853566269485</c:v>
                </c:pt>
                <c:pt idx="62">
                  <c:v>42.062358317648659</c:v>
                </c:pt>
                <c:pt idx="63">
                  <c:v>41.920752900532591</c:v>
                </c:pt>
                <c:pt idx="64">
                  <c:v>41.729532927172386</c:v>
                </c:pt>
                <c:pt idx="65">
                  <c:v>41.487178724536847</c:v>
                </c:pt>
                <c:pt idx="66">
                  <c:v>41.19215862373909</c:v>
                </c:pt>
                <c:pt idx="67">
                  <c:v>40.842932618093954</c:v>
                </c:pt>
                <c:pt idx="68">
                  <c:v>40.437956395624639</c:v>
                </c:pt>
                <c:pt idx="69">
                  <c:v>39.975685747447073</c:v>
                </c:pt>
                <c:pt idx="70">
                  <c:v>39.454581348399614</c:v>
                </c:pt>
                <c:pt idx="71">
                  <c:v>38.87311390056729</c:v>
                </c:pt>
                <c:pt idx="72">
                  <c:v>38.229769624023191</c:v>
                </c:pt>
                <c:pt idx="73">
                  <c:v>37.523056072237807</c:v>
                </c:pt>
                <c:pt idx="74">
                  <c:v>36.751508242302549</c:v>
                </c:pt>
                <c:pt idx="75">
                  <c:v>35.913694942497131</c:v>
                </c:pt>
                <c:pt idx="76">
                  <c:v>35.008225371984906</c:v>
                </c:pt>
                <c:pt idx="77">
                  <c:v>34.03375585972438</c:v>
                </c:pt>
                <c:pt idx="78">
                  <c:v>32.988996702282776</c:v>
                </c:pt>
                <c:pt idx="79">
                  <c:v>31.872719033356077</c:v>
                </c:pt>
                <c:pt idx="80">
                  <c:v>30.683761651715685</c:v>
                </c:pt>
                <c:pt idx="81">
                  <c:v>29.421037729267653</c:v>
                </c:pt>
                <c:pt idx="82">
                  <c:v>28.083541317183943</c:v>
                </c:pt>
                <c:pt idx="83">
                  <c:v>26.670353565889343</c:v>
                </c:pt>
                <c:pt idx="84">
                  <c:v>25.180648574250512</c:v>
                </c:pt>
                <c:pt idx="85">
                  <c:v>23.613698784783537</c:v>
                </c:pt>
                <c:pt idx="86">
                  <c:v>21.968879845155584</c:v>
                </c:pt>
                <c:pt idx="87">
                  <c:v>20.245674861740042</c:v>
                </c:pt>
                <c:pt idx="88">
                  <c:v>18.443677978432845</c:v>
                </c:pt>
                <c:pt idx="89">
                  <c:v>16.562597223234576</c:v>
                </c:pt>
                <c:pt idx="90">
                  <c:v>14.602256576024274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A-404D-AD29-E2D177F42268}"/>
            </c:ext>
          </c:extLst>
        </c:ser>
        <c:ser>
          <c:idx val="2"/>
          <c:order val="2"/>
          <c:tx>
            <c:strRef>
              <c:f>'Challenge 11a'!$E$7</c:f>
              <c:strCache>
                <c:ptCount val="1"/>
                <c:pt idx="0">
                  <c:v>Primary Yellow 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11a'!$E$8:$E$98</c:f>
              <c:numCache>
                <c:formatCode>0.00</c:formatCode>
                <c:ptCount val="91"/>
                <c:pt idx="0">
                  <c:v>0</c:v>
                </c:pt>
                <c:pt idx="1">
                  <c:v>1.0013590878310654</c:v>
                </c:pt>
                <c:pt idx="2">
                  <c:v>2.0023185404525154</c:v>
                </c:pt>
                <c:pt idx="3">
                  <c:v>3.0024782274027721</c:v>
                </c:pt>
                <c:pt idx="4">
                  <c:v>4.0014370269139246</c:v>
                </c:pt>
                <c:pt idx="5">
                  <c:v>4.9987923282533249</c:v>
                </c:pt>
                <c:pt idx="6">
                  <c:v>5.9941395316612045</c:v>
                </c:pt>
                <c:pt idx="7">
                  <c:v>6.9870715450867635</c:v>
                </c:pt>
                <c:pt idx="8">
                  <c:v>7.9771782769288713</c:v>
                </c:pt>
                <c:pt idx="9">
                  <c:v>8.9640461239921727</c:v>
                </c:pt>
                <c:pt idx="10">
                  <c:v>9.9472574538755083</c:v>
                </c:pt>
                <c:pt idx="11">
                  <c:v>10.92639008101709</c:v>
                </c:pt>
                <c:pt idx="12">
                  <c:v>11.901016735630868</c:v>
                </c:pt>
                <c:pt idx="13">
                  <c:v>12.870704524779924</c:v>
                </c:pt>
                <c:pt idx="14">
                  <c:v>13.835014384847348</c:v>
                </c:pt>
                <c:pt idx="15">
                  <c:v>14.793500524682834</c:v>
                </c:pt>
                <c:pt idx="16">
                  <c:v>15.745709858723956</c:v>
                </c:pt>
                <c:pt idx="17">
                  <c:v>16.691181429416766</c:v>
                </c:pt>
                <c:pt idx="18">
                  <c:v>17.629445818290129</c:v>
                </c:pt>
                <c:pt idx="19">
                  <c:v>18.560024545074718</c:v>
                </c:pt>
                <c:pt idx="20">
                  <c:v>19.482429454298298</c:v>
                </c:pt>
                <c:pt idx="21">
                  <c:v>20.396162088840207</c:v>
                </c:pt>
                <c:pt idx="22">
                  <c:v>21.300713049984168</c:v>
                </c:pt>
                <c:pt idx="23">
                  <c:v>22.195561343576586</c:v>
                </c:pt>
                <c:pt idx="24">
                  <c:v>23.080173711975334</c:v>
                </c:pt>
                <c:pt idx="25">
                  <c:v>23.954003951564118</c:v>
                </c:pt>
                <c:pt idx="26">
                  <c:v>24.816492215710937</c:v>
                </c:pt>
                <c:pt idx="27">
                  <c:v>25.667064303168104</c:v>
                </c:pt>
                <c:pt idx="28">
                  <c:v>26.50513093204745</c:v>
                </c:pt>
                <c:pt idx="29">
                  <c:v>27.330086999658235</c:v>
                </c:pt>
                <c:pt idx="30">
                  <c:v>28.141310828672246</c:v>
                </c:pt>
                <c:pt idx="31">
                  <c:v>28.93816340027827</c:v>
                </c:pt>
                <c:pt idx="32">
                  <c:v>29.719987575213324</c:v>
                </c:pt>
                <c:pt idx="33">
                  <c:v>30.486107303810712</c:v>
                </c:pt>
                <c:pt idx="34">
                  <c:v>31.235826826487255</c:v>
                </c:pt>
                <c:pt idx="35">
                  <c:v>31.968429866410133</c:v>
                </c:pt>
                <c:pt idx="36">
                  <c:v>32.683178816434776</c:v>
                </c:pt>
                <c:pt idx="37">
                  <c:v>33.379313922798602</c:v>
                </c:pt>
                <c:pt idx="38">
                  <c:v>34.056052468488147</c:v>
                </c:pt>
                <c:pt idx="39">
                  <c:v>34.712587959675332</c:v>
                </c:pt>
                <c:pt idx="40">
                  <c:v>35.348089319143725</c:v>
                </c:pt>
                <c:pt idx="41">
                  <c:v>35.961700091201635</c:v>
                </c:pt>
                <c:pt idx="42">
                  <c:v>36.552537663203125</c:v>
                </c:pt>
                <c:pt idx="43">
                  <c:v>37.119692509478881</c:v>
                </c:pt>
                <c:pt idx="44">
                  <c:v>37.662227464211199</c:v>
                </c:pt>
                <c:pt idx="45">
                  <c:v>38.17917703057401</c:v>
                </c:pt>
                <c:pt idx="46">
                  <c:v>38.669546734298876</c:v>
                </c:pt>
                <c:pt idx="47">
                  <c:v>39.132312530717059</c:v>
                </c:pt>
                <c:pt idx="48">
                  <c:v>39.566420275263994</c:v>
                </c:pt>
                <c:pt idx="49">
                  <c:v>39.970785268409827</c:v>
                </c:pt>
                <c:pt idx="50">
                  <c:v>40.344291886987293</c:v>
                </c:pt>
                <c:pt idx="51">
                  <c:v>40.685793314919977</c:v>
                </c:pt>
                <c:pt idx="52">
                  <c:v>40.994111387391683</c:v>
                </c:pt>
                <c:pt idx="53">
                  <c:v>41.268036563527744</c:v>
                </c:pt>
                <c:pt idx="54">
                  <c:v>41.506328043659096</c:v>
                </c:pt>
                <c:pt idx="55">
                  <c:v>41.707714048184187</c:v>
                </c:pt>
                <c:pt idx="56">
                  <c:v>41.870892275907835</c:v>
                </c:pt>
                <c:pt idx="57">
                  <c:v>41.994530560478694</c:v>
                </c:pt>
                <c:pt idx="58">
                  <c:v>42.077267744137345</c:v>
                </c:pt>
                <c:pt idx="59">
                  <c:v>42.117714788378379</c:v>
                </c:pt>
                <c:pt idx="60">
                  <c:v>42.114456141274445</c:v>
                </c:pt>
                <c:pt idx="61">
                  <c:v>42.066051381060703</c:v>
                </c:pt>
                <c:pt idx="62">
                  <c:v>41.971037155074896</c:v>
                </c:pt>
                <c:pt idx="63">
                  <c:v>41.827929432243423</c:v>
                </c:pt>
                <c:pt idx="64">
                  <c:v>41.635226085930782</c:v>
                </c:pt>
                <c:pt idx="65">
                  <c:v>41.391409822084881</c:v>
                </c:pt>
                <c:pt idx="66">
                  <c:v>41.094951465155248</c:v>
                </c:pt>
                <c:pt idx="67">
                  <c:v>40.744313611193206</c:v>
                </c:pt>
                <c:pt idx="68">
                  <c:v>40.337954653835482</c:v>
                </c:pt>
                <c:pt idx="69">
                  <c:v>39.874333184491746</c:v>
                </c:pt>
                <c:pt idx="70">
                  <c:v>39.35191276301461</c:v>
                </c:pt>
                <c:pt idx="71">
                  <c:v>38.76916704943622</c:v>
                </c:pt>
                <c:pt idx="72">
                  <c:v>38.124585281052589</c:v>
                </c:pt>
                <c:pt idx="73">
                  <c:v>37.416678072303711</c:v>
                </c:pt>
                <c:pt idx="74">
                  <c:v>36.64398350762562</c:v>
                </c:pt>
                <c:pt idx="75">
                  <c:v>35.805073489881238</c:v>
                </c:pt>
                <c:pt idx="76">
                  <c:v>34.898560299275147</c:v>
                </c:pt>
                <c:pt idx="77">
                  <c:v>33.923103310012749</c:v>
                </c:pt>
                <c:pt idx="78">
                  <c:v>32.877415804611019</c:v>
                </c:pt>
                <c:pt idx="79">
                  <c:v>31.760271818938605</c:v>
                </c:pt>
                <c:pt idx="80">
                  <c:v>30.570512945026337</c:v>
                </c:pt>
                <c:pt idx="81">
                  <c:v>29.307055013697351</c:v>
                </c:pt>
                <c:pt idx="82">
                  <c:v>27.968894575379665</c:v>
                </c:pt>
                <c:pt idx="83">
                  <c:v>26.555115095314591</c:v>
                </c:pt>
                <c:pt idx="84">
                  <c:v>25.064892778956533</c:v>
                </c:pt>
                <c:pt idx="85">
                  <c:v>23.497501944835619</c:v>
                </c:pt>
                <c:pt idx="86">
                  <c:v>21.852319865606006</c:v>
                </c:pt>
                <c:pt idx="87">
                  <c:v>20.128831003464029</c:v>
                </c:pt>
                <c:pt idx="88">
                  <c:v>18.326630573537329</c:v>
                </c:pt>
                <c:pt idx="89">
                  <c:v>16.445427378086237</c:v>
                </c:pt>
                <c:pt idx="90">
                  <c:v>14.485045865226141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A-404D-AD29-E2D177F42268}"/>
            </c:ext>
          </c:extLst>
        </c:ser>
        <c:ser>
          <c:idx val="3"/>
          <c:order val="3"/>
          <c:tx>
            <c:strRef>
              <c:f>'Challenge 11a'!$F$7</c:f>
              <c:strCache>
                <c:ptCount val="1"/>
                <c:pt idx="0">
                  <c:v>Primary Green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11a'!$F$8:$F$98</c:f>
              <c:numCache>
                <c:formatCode>0.00</c:formatCode>
                <c:ptCount val="91"/>
                <c:pt idx="0">
                  <c:v>0</c:v>
                </c:pt>
                <c:pt idx="1">
                  <c:v>0.99888369158394141</c:v>
                </c:pt>
                <c:pt idx="2">
                  <c:v>1.997367229502248</c:v>
                </c:pt>
                <c:pt idx="3">
                  <c:v>2.9950499652144469</c:v>
                </c:pt>
                <c:pt idx="4">
                  <c:v>3.991530259632583</c:v>
                </c:pt>
                <c:pt idx="5">
                  <c:v>4.9864049858537474</c:v>
                </c:pt>
                <c:pt idx="6">
                  <c:v>5.9792690295024791</c:v>
                </c:pt>
                <c:pt idx="7">
                  <c:v>6.9697147858903108</c:v>
                </c:pt>
                <c:pt idx="8">
                  <c:v>7.9573316532034006</c:v>
                </c:pt>
                <c:pt idx="9">
                  <c:v>8.9417055209340326</c:v>
                </c:pt>
                <c:pt idx="10">
                  <c:v>9.9224182527780158</c:v>
                </c:pt>
                <c:pt idx="11">
                  <c:v>10.899047163227912</c:v>
                </c:pt>
                <c:pt idx="12">
                  <c:v>11.871164487101879</c:v>
                </c:pt>
                <c:pt idx="13">
                  <c:v>12.838336841259796</c:v>
                </c:pt>
                <c:pt idx="14">
                  <c:v>13.800124677773354</c:v>
                </c:pt>
                <c:pt idx="15">
                  <c:v>14.756081727834456</c:v>
                </c:pt>
                <c:pt idx="16">
                  <c:v>15.705754435707703</c:v>
                </c:pt>
                <c:pt idx="17">
                  <c:v>16.648681382058591</c:v>
                </c:pt>
                <c:pt idx="18">
                  <c:v>17.584392696019194</c:v>
                </c:pt>
                <c:pt idx="19">
                  <c:v>18.512409455389978</c:v>
                </c:pt>
                <c:pt idx="20">
                  <c:v>19.432243074417748</c:v>
                </c:pt>
                <c:pt idx="21">
                  <c:v>20.343394678640855</c:v>
                </c:pt>
                <c:pt idx="22">
                  <c:v>21.245354466350321</c:v>
                </c:pt>
                <c:pt idx="23">
                  <c:v>22.137601056283131</c:v>
                </c:pt>
                <c:pt idx="24">
                  <c:v>23.019600821242975</c:v>
                </c:pt>
                <c:pt idx="25">
                  <c:v>23.89080720743371</c:v>
                </c:pt>
                <c:pt idx="26">
                  <c:v>24.750660039394873</c:v>
                </c:pt>
                <c:pt idx="27">
                  <c:v>25.598584810548502</c:v>
                </c:pt>
                <c:pt idx="28">
                  <c:v>26.433991959501967</c:v>
                </c:pt>
                <c:pt idx="29">
                  <c:v>27.256276132406839</c:v>
                </c:pt>
                <c:pt idx="30">
                  <c:v>28.064815431850477</c:v>
                </c:pt>
                <c:pt idx="31">
                  <c:v>28.858970652955293</c:v>
                </c:pt>
                <c:pt idx="32">
                  <c:v>29.638084507585702</c:v>
                </c:pt>
                <c:pt idx="33">
                  <c:v>30.401480837815782</c:v>
                </c:pt>
                <c:pt idx="34">
                  <c:v>31.148463820092715</c:v>
                </c:pt>
                <c:pt idx="35">
                  <c:v>31.878317161848642</c:v>
                </c:pt>
                <c:pt idx="36">
                  <c:v>32.590303292664927</c:v>
                </c:pt>
                <c:pt idx="37">
                  <c:v>33.283662552483747</c:v>
                </c:pt>
                <c:pt idx="38">
                  <c:v>33.957612379796089</c:v>
                </c:pt>
                <c:pt idx="39">
                  <c:v>34.611346503209518</c:v>
                </c:pt>
                <c:pt idx="40">
                  <c:v>35.244034140324715</c:v>
                </c:pt>
                <c:pt idx="41">
                  <c:v>35.854819208421347</c:v>
                </c:pt>
                <c:pt idx="42">
                  <c:v>36.442819552077651</c:v>
                </c:pt>
                <c:pt idx="43">
                  <c:v>37.007126193523405</c:v>
                </c:pt>
                <c:pt idx="44">
                  <c:v>37.546802612256656</c:v>
                </c:pt>
                <c:pt idx="45">
                  <c:v>38.06088406123385</c:v>
                </c:pt>
                <c:pt idx="46">
                  <c:v>38.548376927780481</c:v>
                </c:pt>
                <c:pt idx="47">
                  <c:v>39.008258148249411</c:v>
                </c:pt>
                <c:pt idx="48">
                  <c:v>39.439474686385381</c:v>
                </c:pt>
                <c:pt idx="49">
                  <c:v>39.840943086321147</c:v>
                </c:pt>
                <c:pt idx="50">
                  <c:v>40.211549112130342</c:v>
                </c:pt>
                <c:pt idx="51">
                  <c:v>40.55014748688285</c:v>
                </c:pt>
                <c:pt idx="52">
                  <c:v>40.855561745175066</c:v>
                </c:pt>
                <c:pt idx="53">
                  <c:v>41.12658421412354</c:v>
                </c:pt>
                <c:pt idx="54">
                  <c:v>41.361976138798866</c:v>
                </c:pt>
                <c:pt idx="55">
                  <c:v>41.560467969004378</c:v>
                </c:pt>
                <c:pt idx="56">
                  <c:v>41.720759825153351</c:v>
                </c:pt>
                <c:pt idx="57">
                  <c:v>41.841522161725464</c:v>
                </c:pt>
                <c:pt idx="58">
                  <c:v>41.921396647356346</c:v>
                </c:pt>
                <c:pt idx="59">
                  <c:v>41.958997280989252</c:v>
                </c:pt>
                <c:pt idx="60">
                  <c:v>41.952911763647563</c:v>
                </c:pt>
                <c:pt idx="61">
                  <c:v>41.901703145219528</c:v>
                </c:pt>
                <c:pt idx="62">
                  <c:v>41.803911765135922</c:v>
                </c:pt>
                <c:pt idx="63">
                  <c:v>41.6580575048973</c:v>
                </c:pt>
                <c:pt idx="64">
                  <c:v>41.46264236903653</c:v>
                </c:pt>
                <c:pt idx="65">
                  <c:v>41.216153409206214</c:v>
                </c:pt>
                <c:pt idx="66">
                  <c:v>40.917066003630651</c:v>
                </c:pt>
                <c:pt idx="67">
                  <c:v>40.563847501102856</c:v>
                </c:pt>
                <c:pt idx="68">
                  <c:v>40.154961235009921</c:v>
                </c:pt>
                <c:pt idx="69">
                  <c:v>39.688870908517316</c:v>
                </c:pt>
                <c:pt idx="70">
                  <c:v>39.164045347029457</c:v>
                </c:pt>
                <c:pt idx="71">
                  <c:v>38.578963608389728</c:v>
                </c:pt>
                <c:pt idx="72">
                  <c:v>37.932120435033312</c:v>
                </c:pt>
                <c:pt idx="73">
                  <c:v>37.222032025531576</c:v>
                </c:pt>
                <c:pt idx="74">
                  <c:v>36.447242095765091</c:v>
                </c:pt>
                <c:pt idx="75">
                  <c:v>35.606328192471381</c:v>
                </c:pt>
                <c:pt idx="76">
                  <c:v>34.697908214294159</c:v>
                </c:pt>
                <c:pt idx="77">
                  <c:v>33.720647087910123</c:v>
                </c:pt>
                <c:pt idx="78">
                  <c:v>32.673263539543086</c:v>
                </c:pt>
                <c:pt idx="79">
                  <c:v>31.55453689544143</c:v>
                </c:pt>
                <c:pt idx="80">
                  <c:v>30.363313838942048</c:v>
                </c:pt>
                <c:pt idx="81">
                  <c:v>29.098515046833711</c:v>
                </c:pt>
                <c:pt idx="82">
                  <c:v>27.759141624112686</c:v>
                </c:pt>
                <c:pt idx="83">
                  <c:v>26.344281254125491</c:v>
                </c:pt>
                <c:pt idx="84">
                  <c:v>24.853113980710276</c:v>
                </c:pt>
                <c:pt idx="85">
                  <c:v>23.284917540432929</c:v>
                </c:pt>
                <c:pt idx="86">
                  <c:v>21.639072166452706</c:v>
                </c:pt>
                <c:pt idx="87">
                  <c:v>19.91506479097535</c:v>
                </c:pt>
                <c:pt idx="88">
                  <c:v>18.112492580600019</c:v>
                </c:pt>
                <c:pt idx="89">
                  <c:v>16.231065748022331</c:v>
                </c:pt>
                <c:pt idx="90">
                  <c:v>14.27060959430716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A-404D-AD29-E2D177F42268}"/>
            </c:ext>
          </c:extLst>
        </c:ser>
        <c:ser>
          <c:idx val="4"/>
          <c:order val="4"/>
          <c:tx>
            <c:strRef>
              <c:f>'Challenge 11a'!$G$7</c:f>
              <c:strCache>
                <c:ptCount val="1"/>
                <c:pt idx="0">
                  <c:v>Primary Cyan</c:v>
                </c:pt>
              </c:strCache>
            </c:strRef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11a'!$G$8:$G$98</c:f>
              <c:numCache>
                <c:formatCode>0.00</c:formatCode>
                <c:ptCount val="91"/>
                <c:pt idx="0">
                  <c:v>0</c:v>
                </c:pt>
                <c:pt idx="1">
                  <c:v>0.99618791214245173</c:v>
                </c:pt>
                <c:pt idx="2">
                  <c:v>1.9919751083941328</c:v>
                </c:pt>
                <c:pt idx="3">
                  <c:v>2.9869603784051311</c:v>
                </c:pt>
                <c:pt idx="4">
                  <c:v>3.9807415221144353</c:v>
                </c:pt>
                <c:pt idx="5">
                  <c:v>4.972914852913199</c:v>
                </c:pt>
                <c:pt idx="6">
                  <c:v>5.9630746984329654</c:v>
                </c:pt>
                <c:pt idx="7">
                  <c:v>6.9508128981713391</c:v>
                </c:pt>
                <c:pt idx="8">
                  <c:v>7.9357182971713094</c:v>
                </c:pt>
                <c:pt idx="9">
                  <c:v>8.9173762349754284</c:v>
                </c:pt>
                <c:pt idx="10">
                  <c:v>9.8953680290825119</c:v>
                </c:pt>
                <c:pt idx="11">
                  <c:v>10.869270452142615</c:v>
                </c:pt>
                <c:pt idx="12">
                  <c:v>11.838655202135939</c:v>
                </c:pt>
                <c:pt idx="13">
                  <c:v>12.803088364793894</c:v>
                </c:pt>
                <c:pt idx="14">
                  <c:v>13.7621298675354</c:v>
                </c:pt>
                <c:pt idx="15">
                  <c:v>14.71533292420964</c:v>
                </c:pt>
                <c:pt idx="16">
                  <c:v>15.662243469958575</c:v>
                </c:pt>
                <c:pt idx="17">
                  <c:v>16.602399585537874</c:v>
                </c:pt>
                <c:pt idx="18">
                  <c:v>17.535330910466826</c:v>
                </c:pt>
                <c:pt idx="19">
                  <c:v>18.460558044413574</c:v>
                </c:pt>
                <c:pt idx="20">
                  <c:v>19.377591936265048</c:v>
                </c:pt>
                <c:pt idx="21">
                  <c:v>20.285933260381732</c:v>
                </c:pt>
                <c:pt idx="22">
                  <c:v>21.185071779596001</c:v>
                </c:pt>
                <c:pt idx="23">
                  <c:v>22.074485694580332</c:v>
                </c:pt>
                <c:pt idx="24">
                  <c:v>22.953640979291592</c:v>
                </c:pt>
                <c:pt idx="25">
                  <c:v>23.82199070228782</c:v>
                </c:pt>
                <c:pt idx="26">
                  <c:v>24.678974333819028</c:v>
                </c:pt>
                <c:pt idx="27">
                  <c:v>25.524017038712657</c:v>
                </c:pt>
                <c:pt idx="28">
                  <c:v>26.356528955211942</c:v>
                </c:pt>
                <c:pt idx="29">
                  <c:v>27.175904460079835</c:v>
                </c:pt>
                <c:pt idx="30">
                  <c:v>27.981521420458279</c:v>
                </c:pt>
                <c:pt idx="31">
                  <c:v>28.772740433172146</c:v>
                </c:pt>
                <c:pt idx="32">
                  <c:v>29.548904052390881</c:v>
                </c:pt>
                <c:pt idx="33">
                  <c:v>30.30933600681513</c:v>
                </c:pt>
                <c:pt idx="34">
                  <c:v>31.053340407836856</c:v>
                </c:pt>
                <c:pt idx="35">
                  <c:v>31.780200950439152</c:v>
                </c:pt>
                <c:pt idx="36">
                  <c:v>32.489180108952212</c:v>
                </c:pt>
                <c:pt idx="37">
                  <c:v>33.17951833017284</c:v>
                </c:pt>
                <c:pt idx="38">
                  <c:v>33.85043322678662</c:v>
                </c:pt>
                <c:pt idx="39">
                  <c:v>34.501118774506736</c:v>
                </c:pt>
                <c:pt idx="40">
                  <c:v>35.13074451686434</c:v>
                </c:pt>
                <c:pt idx="41">
                  <c:v>35.738454782157348</c:v>
                </c:pt>
                <c:pt idx="42">
                  <c:v>36.323367917683157</c:v>
                </c:pt>
                <c:pt idx="43">
                  <c:v>36.884575547054098</c:v>
                </c:pt>
                <c:pt idx="44">
                  <c:v>37.421141857119281</c:v>
                </c:pt>
                <c:pt idx="45">
                  <c:v>37.932102921792591</c:v>
                </c:pt>
                <c:pt idx="46">
                  <c:v>38.416466070915618</c:v>
                </c:pt>
                <c:pt idx="47">
                  <c:v>38.873209313160203</c:v>
                </c:pt>
                <c:pt idx="48">
                  <c:v>39.301280822896302</c:v>
                </c:pt>
                <c:pt idx="49">
                  <c:v>39.699598501910089</c:v>
                </c:pt>
                <c:pt idx="50">
                  <c:v>40.0670496278467</c:v>
                </c:pt>
                <c:pt idx="51">
                  <c:v>40.402490602260741</c:v>
                </c:pt>
                <c:pt idx="52">
                  <c:v>40.704746812172317</c:v>
                </c:pt>
                <c:pt idx="53">
                  <c:v>40.972612620028315</c:v>
                </c:pt>
                <c:pt idx="54">
                  <c:v>41.204851497942457</c:v>
                </c:pt>
                <c:pt idx="55">
                  <c:v>41.400196323000102</c:v>
                </c:pt>
                <c:pt idx="56">
                  <c:v>41.557349851244709</c:v>
                </c:pt>
                <c:pt idx="57">
                  <c:v>41.674985388673377</c:v>
                </c:pt>
                <c:pt idx="58">
                  <c:v>41.751747678126037</c:v>
                </c:pt>
                <c:pt idx="59">
                  <c:v>41.786254021306547</c:v>
                </c:pt>
                <c:pt idx="60">
                  <c:v>41.777095655290594</c:v>
                </c:pt>
                <c:pt idx="61">
                  <c:v>41.722839402689999</c:v>
                </c:pt>
                <c:pt idx="62">
                  <c:v>41.622029614117821</c:v>
                </c:pt>
                <c:pt idx="63">
                  <c:v>41.473190420665929</c:v>
                </c:pt>
                <c:pt idx="64">
                  <c:v>41.274828312723855</c:v>
                </c:pt>
                <c:pt idx="65">
                  <c:v>41.02543505957226</c:v>
                </c:pt>
                <c:pt idx="66">
                  <c:v>40.723490981733676</c:v>
                </c:pt>
                <c:pt idx="67">
                  <c:v>40.367468585014166</c:v>
                </c:pt>
                <c:pt idx="68">
                  <c:v>39.955836561488809</c:v>
                </c:pt>
                <c:pt idx="69">
                  <c:v>39.487064158355082</c:v>
                </c:pt>
                <c:pt idx="70">
                  <c:v>38.95962591060001</c:v>
                </c:pt>
                <c:pt idx="71">
                  <c:v>38.372006727818075</c:v>
                </c:pt>
                <c:pt idx="72">
                  <c:v>37.722707319320733</c:v>
                </c:pt>
                <c:pt idx="73">
                  <c:v>37.010249934968044</c:v>
                </c:pt>
                <c:pt idx="74">
                  <c:v>36.233184392029358</c:v>
                </c:pt>
                <c:pt idx="75">
                  <c:v>35.39009435096969</c:v>
                </c:pt>
                <c:pt idx="76">
                  <c:v>34.479603795532427</c:v>
                </c:pt>
                <c:pt idx="77">
                  <c:v>33.500383665033326</c:v>
                </c:pt>
                <c:pt idx="78">
                  <c:v>32.45115857961477</c:v>
                </c:pt>
                <c:pt idx="79">
                  <c:v>31.330713592571783</c:v>
                </c:pt>
                <c:pt idx="80">
                  <c:v>30.137900898003778</c:v>
                </c:pt>
                <c:pt idx="81">
                  <c:v>28.871646417219438</c:v>
                </c:pt>
                <c:pt idx="82">
                  <c:v>27.530956183774236</c:v>
                </c:pt>
                <c:pt idx="83">
                  <c:v>26.114922444979271</c:v>
                </c:pt>
                <c:pt idx="84">
                  <c:v>24.622729397368687</c:v>
                </c:pt>
                <c:pt idx="85">
                  <c:v>23.053658475111206</c:v>
                </c:pt>
                <c:pt idx="86">
                  <c:v>21.407093113773129</c:v>
                </c:pt>
                <c:pt idx="87">
                  <c:v>19.682522917222713</c:v>
                </c:pt>
                <c:pt idx="88">
                  <c:v>17.879547162742142</c:v>
                </c:pt>
                <c:pt idx="89">
                  <c:v>15.997877588474125</c:v>
                </c:pt>
                <c:pt idx="90">
                  <c:v>14.037340417961246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1A-404D-AD29-E2D177F42268}"/>
            </c:ext>
          </c:extLst>
        </c:ser>
        <c:ser>
          <c:idx val="5"/>
          <c:order val="5"/>
          <c:tx>
            <c:strRef>
              <c:f>'Challenge 11a'!$H$7</c:f>
              <c:strCache>
                <c:ptCount val="1"/>
                <c:pt idx="0">
                  <c:v>Primary Blue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11a'!$H$8:$H$98</c:f>
              <c:numCache>
                <c:formatCode>0.00</c:formatCode>
                <c:ptCount val="91"/>
                <c:pt idx="0">
                  <c:v>0</c:v>
                </c:pt>
                <c:pt idx="1">
                  <c:v>0.99349697510712565</c:v>
                </c:pt>
                <c:pt idx="2">
                  <c:v>1.9865926755899288</c:v>
                </c:pt>
                <c:pt idx="3">
                  <c:v>2.9788853327850635</c:v>
                </c:pt>
                <c:pt idx="4">
                  <c:v>3.9699721891632951</c:v>
                </c:pt>
                <c:pt idx="5">
                  <c:v>4.9594490019278599</c:v>
                </c:pt>
                <c:pt idx="6">
                  <c:v>5.9469095442529145</c:v>
                </c:pt>
                <c:pt idx="7">
                  <c:v>6.9319451033796184</c:v>
                </c:pt>
                <c:pt idx="8">
                  <c:v>7.9141439747914113</c:v>
                </c:pt>
                <c:pt idx="9">
                  <c:v>8.8930909516951147</c:v>
                </c:pt>
                <c:pt idx="10">
                  <c:v>9.868366809040964</c:v>
                </c:pt>
                <c:pt idx="11">
                  <c:v>10.839547781323432</c:v>
                </c:pt>
                <c:pt idx="12">
                  <c:v>11.806205033414017</c:v>
                </c:pt>
                <c:pt idx="13">
                  <c:v>12.767904123691103</c:v>
                </c:pt>
                <c:pt idx="14">
                  <c:v>13.724204458745952</c:v>
                </c:pt>
                <c:pt idx="15">
                  <c:v>14.674658738963366</c:v>
                </c:pt>
                <c:pt idx="16">
                  <c:v>15.618812394297144</c:v>
                </c:pt>
                <c:pt idx="17">
                  <c:v>16.556203009587009</c:v>
                </c:pt>
                <c:pt idx="18">
                  <c:v>17.486359738795066</c:v>
                </c:pt>
                <c:pt idx="19">
                  <c:v>18.408802707576882</c:v>
                </c:pt>
                <c:pt idx="20">
                  <c:v>19.323042403645175</c:v>
                </c:pt>
                <c:pt idx="21">
                  <c:v>20.228579054435741</c:v>
                </c:pt>
                <c:pt idx="22">
                  <c:v>21.124901991643569</c:v>
                </c:pt>
                <c:pt idx="23">
                  <c:v>22.011489002266458</c:v>
                </c:pt>
                <c:pt idx="24">
                  <c:v>22.887805665872463</c:v>
                </c:pt>
                <c:pt idx="25">
                  <c:v>23.753304677898797</c:v>
                </c:pt>
                <c:pt idx="26">
                  <c:v>24.607425158895623</c:v>
                </c:pt>
                <c:pt idx="27">
                  <c:v>25.449591949747557</c:v>
                </c:pt>
                <c:pt idx="28">
                  <c:v>26.27921489304309</c:v>
                </c:pt>
                <c:pt idx="29">
                  <c:v>27.095688100918082</c:v>
                </c:pt>
                <c:pt idx="30">
                  <c:v>27.898389209876228</c:v>
                </c:pt>
                <c:pt idx="31">
                  <c:v>28.686678623289041</c:v>
                </c:pt>
                <c:pt idx="32">
                  <c:v>29.459898742502062</c:v>
                </c:pt>
                <c:pt idx="33">
                  <c:v>30.217373187728512</c:v>
                </c:pt>
                <c:pt idx="34">
                  <c:v>30.958406010191723</c:v>
                </c:pt>
                <c:pt idx="35">
                  <c:v>31.68228089729638</c:v>
                </c:pt>
                <c:pt idx="36">
                  <c:v>32.388260372956836</c:v>
                </c:pt>
                <c:pt idx="37">
                  <c:v>33.075584995602441</c:v>
                </c:pt>
                <c:pt idx="38">
                  <c:v>33.74347255680884</c:v>
                </c:pt>
                <c:pt idx="39">
                  <c:v>34.391117283978545</c:v>
                </c:pt>
                <c:pt idx="40">
                  <c:v>35.017689051013079</c:v>
                </c:pt>
                <c:pt idx="41">
                  <c:v>35.622332601488068</c:v>
                </c:pt>
                <c:pt idx="42">
                  <c:v>36.204166789457958</c:v>
                </c:pt>
                <c:pt idx="43">
                  <c:v>36.76228384368838</c:v>
                </c:pt>
                <c:pt idx="44">
                  <c:v>37.295748661832732</c:v>
                </c:pt>
                <c:pt idx="45">
                  <c:v>37.803598141841718</c:v>
                </c:pt>
                <c:pt idx="46">
                  <c:v>38.284840558717406</c:v>
                </c:pt>
                <c:pt idx="47">
                  <c:v>38.738454995592207</c:v>
                </c:pt>
                <c:pt idx="48">
                  <c:v>39.163390839027187</c:v>
                </c:pt>
                <c:pt idx="49">
                  <c:v>39.558567349372282</c:v>
                </c:pt>
                <c:pt idx="50">
                  <c:v>39.922873318013245</c:v>
                </c:pt>
                <c:pt idx="51">
                  <c:v>40.2551668243253</c:v>
                </c:pt>
                <c:pt idx="52">
                  <c:v>40.554275106156496</c:v>
                </c:pt>
                <c:pt idx="53">
                  <c:v>40.818994558652975</c:v>
                </c:pt>
                <c:pt idx="54">
                  <c:v>41.048090877195989</c:v>
                </c:pt>
                <c:pt idx="55">
                  <c:v>41.240299361118161</c:v>
                </c:pt>
                <c:pt idx="56">
                  <c:v>41.394325395681278</c:v>
                </c:pt>
                <c:pt idx="57">
                  <c:v>41.508845130490528</c:v>
                </c:pt>
                <c:pt idx="58">
                  <c:v>41.582506373060028</c:v>
                </c:pt>
                <c:pt idx="59">
                  <c:v>41.613929716581595</c:v>
                </c:pt>
                <c:pt idx="60">
                  <c:v>41.601709921047728</c:v>
                </c:pt>
                <c:pt idx="61">
                  <c:v>41.544417566679329</c:v>
                </c:pt>
                <c:pt idx="62">
                  <c:v>41.440600998069897</c:v>
                </c:pt>
                <c:pt idx="63">
                  <c:v>41.288788576513895</c:v>
                </c:pt>
                <c:pt idx="64">
                  <c:v>41.087491256597218</c:v>
                </c:pt>
                <c:pt idx="65">
                  <c:v>40.83520550122725</c:v>
                </c:pt>
                <c:pt idx="66">
                  <c:v>40.530416546835085</c:v>
                </c:pt>
                <c:pt idx="67">
                  <c:v>40.171602027438496</c:v>
                </c:pt>
                <c:pt idx="68">
                  <c:v>39.757235962593313</c:v>
                </c:pt>
                <c:pt idx="69">
                  <c:v>39.285793109954255</c:v>
                </c:pt>
                <c:pt idx="70">
                  <c:v>38.755753678225659</c:v>
                </c:pt>
                <c:pt idx="71">
                  <c:v>38.165608390713146</c:v>
                </c:pt>
                <c:pt idx="72">
                  <c:v>37.513863883549533</c:v>
                </c:pt>
                <c:pt idx="73">
                  <c:v>36.799048416022003</c:v>
                </c:pt>
                <c:pt idx="74">
                  <c:v>36.01971786337424</c:v>
                </c:pt>
                <c:pt idx="75">
                  <c:v>35.174461955135428</c:v>
                </c:pt>
                <c:pt idx="76">
                  <c:v>34.261910714587884</c:v>
                </c:pt>
                <c:pt idx="77">
                  <c:v>33.280741047626066</c:v>
                </c:pt>
                <c:pt idx="78">
                  <c:v>32.229683422190192</c:v>
                </c:pt>
                <c:pt idx="79">
                  <c:v>31.107528572919108</c:v>
                </c:pt>
                <c:pt idx="80">
                  <c:v>29.913134159896572</c:v>
                </c:pt>
                <c:pt idx="81">
                  <c:v>28.645431305627397</c:v>
                </c:pt>
                <c:pt idx="82">
                  <c:v>27.303430930899253</c:v>
                </c:pt>
                <c:pt idx="83">
                  <c:v>25.886229808199971</c:v>
                </c:pt>
                <c:pt idx="84">
                  <c:v>24.393016251043775</c:v>
                </c:pt>
                <c:pt idx="85">
                  <c:v>22.823075359066763</c:v>
                </c:pt>
                <c:pt idx="86">
                  <c:v>21.175793742161488</c:v>
                </c:pt>
                <c:pt idx="87">
                  <c:v>19.450663652256651</c:v>
                </c:pt>
                <c:pt idx="88">
                  <c:v>17.647286458559932</c:v>
                </c:pt>
                <c:pt idx="89">
                  <c:v>15.765375411043948</c:v>
                </c:pt>
                <c:pt idx="90">
                  <c:v>13.804757647470211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1A-404D-AD29-E2D177F42268}"/>
            </c:ext>
          </c:extLst>
        </c:ser>
        <c:ser>
          <c:idx val="6"/>
          <c:order val="6"/>
          <c:tx>
            <c:strRef>
              <c:f>'Challenge 11a'!$I$7</c:f>
              <c:strCache>
                <c:ptCount val="1"/>
                <c:pt idx="0">
                  <c:v>Primary Violet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'Challenge 11a'!$I$8:$I$98</c:f>
              <c:numCache>
                <c:formatCode>0.00</c:formatCode>
                <c:ptCount val="91"/>
                <c:pt idx="0">
                  <c:v>0</c:v>
                </c:pt>
                <c:pt idx="1">
                  <c:v>0.98723688046357161</c:v>
                </c:pt>
                <c:pt idx="2">
                  <c:v>1.9740711960670048</c:v>
                </c:pt>
                <c:pt idx="3">
                  <c:v>2.9600998889082621</c:v>
                </c:pt>
                <c:pt idx="4">
                  <c:v>3.9449189142253047</c:v>
                </c:pt>
                <c:pt idx="5">
                  <c:v>4.9281227450264513</c:v>
                </c:pt>
                <c:pt idx="6">
                  <c:v>5.9093038743959028</c:v>
                </c:pt>
                <c:pt idx="7">
                  <c:v>6.8880523147040371</c:v>
                </c:pt>
                <c:pt idx="8">
                  <c:v>7.8639550929561359</c:v>
                </c:pt>
                <c:pt idx="9">
                  <c:v>8.8365957415188952</c:v>
                </c:pt>
                <c:pt idx="10">
                  <c:v>9.8055537834708524</c:v>
                </c:pt>
                <c:pt idx="11">
                  <c:v>10.770404211831696</c:v>
                </c:pt>
                <c:pt idx="12">
                  <c:v>11.730716961936189</c:v>
                </c:pt>
                <c:pt idx="13">
                  <c:v>12.686056376231626</c:v>
                </c:pt>
                <c:pt idx="14">
                  <c:v>13.635980660793784</c:v>
                </c:pt>
                <c:pt idx="15">
                  <c:v>14.580041332875311</c:v>
                </c:pt>
                <c:pt idx="16">
                  <c:v>15.517782658823663</c:v>
                </c:pt>
                <c:pt idx="17">
                  <c:v>16.448741081732706</c:v>
                </c:pt>
                <c:pt idx="18">
                  <c:v>17.372444638224479</c:v>
                </c:pt>
                <c:pt idx="19">
                  <c:v>18.288412363795558</c:v>
                </c:pt>
                <c:pt idx="20">
                  <c:v>19.196153686206493</c:v>
                </c:pt>
                <c:pt idx="21">
                  <c:v>20.09516780644509</c:v>
                </c:pt>
                <c:pt idx="22">
                  <c:v>20.984943066854413</c:v>
                </c:pt>
                <c:pt idx="23">
                  <c:v>21.864956306085915</c:v>
                </c:pt>
                <c:pt idx="24">
                  <c:v>22.73467220061876</c:v>
                </c:pt>
                <c:pt idx="25">
                  <c:v>23.593542592679285</c:v>
                </c:pt>
                <c:pt idx="26">
                  <c:v>24.441005804499724</c:v>
                </c:pt>
                <c:pt idx="27">
                  <c:v>25.276485938978112</c:v>
                </c:pt>
                <c:pt idx="28">
                  <c:v>26.099392166937193</c:v>
                </c:pt>
                <c:pt idx="29">
                  <c:v>26.909118001339024</c:v>
                </c:pt>
                <c:pt idx="30">
                  <c:v>27.705040558987761</c:v>
                </c:pt>
                <c:pt idx="31">
                  <c:v>28.486519810454197</c:v>
                </c:pt>
                <c:pt idx="32">
                  <c:v>29.252897819180063</c:v>
                </c:pt>
                <c:pt idx="33">
                  <c:v>30.003497970973655</c:v>
                </c:pt>
                <c:pt idx="34">
                  <c:v>30.737624195389486</c:v>
                </c:pt>
                <c:pt idx="35">
                  <c:v>31.454560180800854</c:v>
                </c:pt>
                <c:pt idx="36">
                  <c:v>32.15356858532293</c:v>
                </c:pt>
                <c:pt idx="37">
                  <c:v>32.83389024613173</c:v>
                </c:pt>
                <c:pt idx="38">
                  <c:v>33.494743390152195</c:v>
                </c:pt>
                <c:pt idx="39">
                  <c:v>34.135322849558506</c:v>
                </c:pt>
                <c:pt idx="40">
                  <c:v>34.754799286044388</c:v>
                </c:pt>
                <c:pt idx="41">
                  <c:v>35.352318428384265</c:v>
                </c:pt>
                <c:pt idx="42">
                  <c:v>35.927000328415744</c:v>
                </c:pt>
                <c:pt idx="43">
                  <c:v>36.47793864123453</c:v>
                </c:pt>
                <c:pt idx="44">
                  <c:v>37.004199936103603</c:v>
                </c:pt>
                <c:pt idx="45">
                  <c:v>37.504823045337346</c:v>
                </c:pt>
                <c:pt idx="46">
                  <c:v>37.978818459231832</c:v>
                </c:pt>
                <c:pt idx="47">
                  <c:v>38.425167775963189</c:v>
                </c:pt>
                <c:pt idx="48">
                  <c:v>38.842823216273814</c:v>
                </c:pt>
                <c:pt idx="49">
                  <c:v>39.230707213693393</c:v>
                </c:pt>
                <c:pt idx="50">
                  <c:v>39.587712091998526</c:v>
                </c:pt>
                <c:pt idx="51">
                  <c:v>39.91269984258787</c:v>
                </c:pt>
                <c:pt idx="52">
                  <c:v>40.204502015419934</c:v>
                </c:pt>
                <c:pt idx="53">
                  <c:v>40.461919738122617</c:v>
                </c:pt>
                <c:pt idx="54">
                  <c:v>40.683723878804841</c:v>
                </c:pt>
                <c:pt idx="55">
                  <c:v>40.868655368963459</c:v>
                </c:pt>
                <c:pt idx="56">
                  <c:v>41.015425703656291</c:v>
                </c:pt>
                <c:pt idx="57">
                  <c:v>41.122717636765429</c:v>
                </c:pt>
                <c:pt idx="58">
                  <c:v>41.18918608967428</c:v>
                </c:pt>
                <c:pt idx="59">
                  <c:v>41.213459291982019</c:v>
                </c:pt>
                <c:pt idx="60">
                  <c:v>41.194140172937921</c:v>
                </c:pt>
                <c:pt idx="61">
                  <c:v>41.129808022044415</c:v>
                </c:pt>
                <c:pt idx="62">
                  <c:v>41.019020436706995</c:v>
                </c:pt>
                <c:pt idx="63">
                  <c:v>40.860315573841689</c:v>
                </c:pt>
                <c:pt idx="64">
                  <c:v>40.652214720943135</c:v>
                </c:pt>
                <c:pt idx="65">
                  <c:v>40.393225200211674</c:v>
                </c:pt>
                <c:pt idx="66">
                  <c:v>40.081843616897572</c:v>
                </c:pt>
                <c:pt idx="67">
                  <c:v>39.716559459999786</c:v>
                </c:pt>
                <c:pt idx="68">
                  <c:v>39.295859059833333</c:v>
                </c:pt>
                <c:pt idx="69">
                  <c:v>38.818229902731161</c:v>
                </c:pt>
                <c:pt idx="70">
                  <c:v>38.282165298285349</c:v>
                </c:pt>
                <c:pt idx="71">
                  <c:v>37.68616938906456</c:v>
                </c:pt>
                <c:pt idx="72">
                  <c:v>37.028762486732603</c:v>
                </c:pt>
                <c:pt idx="73">
                  <c:v>36.308486711992572</c:v>
                </c:pt>
                <c:pt idx="74">
                  <c:v>35.523911908900971</c:v>
                </c:pt>
                <c:pt idx="75">
                  <c:v>34.673641796959743</c:v>
                </c:pt>
                <c:pt idx="76">
                  <c:v>33.756320317161794</c:v>
                </c:pt>
                <c:pt idx="77">
                  <c:v>32.770638121023154</c:v>
                </c:pt>
                <c:pt idx="78">
                  <c:v>31.715339144784366</c:v>
                </c:pt>
                <c:pt idx="79">
                  <c:v>30.589227204645709</c:v>
                </c:pt>
                <c:pt idx="80">
                  <c:v>29.391172543339991</c:v>
                </c:pt>
                <c:pt idx="81">
                  <c:v>28.120118253793692</c:v>
                </c:pt>
                <c:pt idx="82">
                  <c:v>26.775086502310018</c:v>
                </c:pt>
                <c:pt idx="83">
                  <c:v>25.355184471841511</c:v>
                </c:pt>
                <c:pt idx="84">
                  <c:v>23.859609945679665</c:v>
                </c:pt>
                <c:pt idx="85">
                  <c:v>22.287656453417696</c:v>
                </c:pt>
                <c:pt idx="86">
                  <c:v>20.638717904417462</c:v>
                </c:pt>
                <c:pt idx="87">
                  <c:v>18.912292639249813</c:v>
                </c:pt>
                <c:pt idx="88">
                  <c:v>17.107986836631483</c:v>
                </c:pt>
                <c:pt idx="89">
                  <c:v>15.225517222127763</c:v>
                </c:pt>
                <c:pt idx="90">
                  <c:v>13.264713035132729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1A-404D-AD29-E2D177F42268}"/>
            </c:ext>
          </c:extLst>
        </c:ser>
        <c:ser>
          <c:idx val="10"/>
          <c:order val="10"/>
          <c:tx>
            <c:strRef>
              <c:f>'Challenge 11a'!$M$7</c:f>
              <c:strCache>
                <c:ptCount val="1"/>
                <c:pt idx="0">
                  <c:v>Sec Red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11a'!$M$8:$M$98</c:f>
              <c:numCache>
                <c:formatCode>0.00</c:formatCode>
                <c:ptCount val="91"/>
                <c:pt idx="0">
                  <c:v>180</c:v>
                </c:pt>
                <c:pt idx="1">
                  <c:v>177.4922108768391</c:v>
                </c:pt>
                <c:pt idx="2">
                  <c:v>174.98501999586568</c:v>
                </c:pt>
                <c:pt idx="3">
                  <c:v>172.47902634300829</c:v>
                </c:pt>
                <c:pt idx="4">
                  <c:v>169.97483039289153</c:v>
                </c:pt>
                <c:pt idx="5">
                  <c:v>167.47303485621904</c:v>
                </c:pt>
                <c:pt idx="6">
                  <c:v>164.97424543079427</c:v>
                </c:pt>
                <c:pt idx="7">
                  <c:v>162.47907155738687</c:v>
                </c:pt>
                <c:pt idx="8">
                  <c:v>159.98812718164706</c:v>
                </c:pt>
                <c:pt idx="9">
                  <c:v>157.50203152326259</c:v>
                </c:pt>
                <c:pt idx="10">
                  <c:v>155.02140985354578</c:v>
                </c:pt>
                <c:pt idx="11">
                  <c:v>152.54689428262583</c:v>
                </c:pt>
                <c:pt idx="12">
                  <c:v>150.07912455740762</c:v>
                </c:pt>
                <c:pt idx="13">
                  <c:v>147.61874887144228</c:v>
                </c:pt>
                <c:pt idx="14">
                  <c:v>145.16642468783229</c:v>
                </c:pt>
                <c:pt idx="15">
                  <c:v>142.72281957626899</c:v>
                </c:pt>
                <c:pt idx="16">
                  <c:v>140.28861206526915</c:v>
                </c:pt>
                <c:pt idx="17">
                  <c:v>137.8644925106407</c:v>
                </c:pt>
                <c:pt idx="18">
                  <c:v>135.45116398116232</c:v>
                </c:pt>
                <c:pt idx="19">
                  <c:v>133.0493431624094</c:v>
                </c:pt>
                <c:pt idx="20">
                  <c:v>130.65976127959738</c:v>
                </c:pt>
                <c:pt idx="21">
                  <c:v>128.28316504023863</c:v>
                </c:pt>
                <c:pt idx="22">
                  <c:v>125.92031759732539</c:v>
                </c:pt>
                <c:pt idx="23">
                  <c:v>123.57199953364957</c:v>
                </c:pt>
                <c:pt idx="24">
                  <c:v>121.23900986775604</c:v>
                </c:pt>
                <c:pt idx="25">
                  <c:v>118.92216708189054</c:v>
                </c:pt>
                <c:pt idx="26">
                  <c:v>116.62231017215039</c:v>
                </c:pt>
                <c:pt idx="27">
                  <c:v>114.34029972086773</c:v>
                </c:pt>
                <c:pt idx="28">
                  <c:v>112.07701899105287</c:v>
                </c:pt>
                <c:pt idx="29">
                  <c:v>109.83337504249448</c:v>
                </c:pt>
                <c:pt idx="30">
                  <c:v>107.6102998688489</c:v>
                </c:pt>
                <c:pt idx="31">
                  <c:v>105.40875155475584</c:v>
                </c:pt>
                <c:pt idx="32">
                  <c:v>103.22971545167783</c:v>
                </c:pt>
                <c:pt idx="33">
                  <c:v>101.07420537078593</c:v>
                </c:pt>
                <c:pt idx="34">
                  <c:v>98.943264790785236</c:v>
                </c:pt>
                <c:pt idx="35">
                  <c:v>96.837968078102051</c:v>
                </c:pt>
                <c:pt idx="36">
                  <c:v>94.759421716321185</c:v>
                </c:pt>
                <c:pt idx="37">
                  <c:v>92.708765541174671</c:v>
                </c:pt>
                <c:pt idx="38">
                  <c:v>90.687173976729071</c:v>
                </c:pt>
                <c:pt idx="39">
                  <c:v>88.695857267699068</c:v>
                </c:pt>
                <c:pt idx="40">
                  <c:v>86.736062702023077</c:v>
                </c:pt>
                <c:pt idx="41">
                  <c:v>84.809075816968374</c:v>
                </c:pt>
                <c:pt idx="42">
                  <c:v>82.91622158108899</c:v>
                </c:pt>
                <c:pt idx="43">
                  <c:v>81.058865543332217</c:v>
                </c:pt>
                <c:pt idx="44">
                  <c:v>79.238414939480577</c:v>
                </c:pt>
                <c:pt idx="45">
                  <c:v>77.456319744926873</c:v>
                </c:pt>
                <c:pt idx="46">
                  <c:v>75.714073661505267</c:v>
                </c:pt>
                <c:pt idx="47">
                  <c:v>74.013215024754942</c:v>
                </c:pt>
                <c:pt idx="48">
                  <c:v>72.355327616567735</c:v>
                </c:pt>
                <c:pt idx="49">
                  <c:v>70.74204136669141</c:v>
                </c:pt>
                <c:pt idx="50">
                  <c:v>69.175032925022094</c:v>
                </c:pt>
                <c:pt idx="51">
                  <c:v>67.656026085047642</c:v>
                </c:pt>
                <c:pt idx="52">
                  <c:v>66.186792037224336</c:v>
                </c:pt>
                <c:pt idx="53">
                  <c:v>64.769149429488607</c:v>
                </c:pt>
                <c:pt idx="54">
                  <c:v>63.40496421057685</c:v>
                </c:pt>
                <c:pt idx="55">
                  <c:v>62.09614923037546</c:v>
                </c:pt>
                <c:pt idx="56">
                  <c:v>60.84466357018843</c:v>
                </c:pt>
                <c:pt idx="57">
                  <c:v>59.652511574660736</c:v>
                </c:pt>
                <c:pt idx="58">
                  <c:v>58.52174155616953</c:v>
                </c:pt>
                <c:pt idx="59">
                  <c:v>57.454444141869686</c:v>
                </c:pt>
                <c:pt idx="60">
                  <c:v>56.45275023332772</c:v>
                </c:pt>
                <c:pt idx="61">
                  <c:v>55.518828548863382</c:v>
                </c:pt>
                <c:pt idx="62">
                  <c:v>54.654882719444856</c:v>
                </c:pt>
                <c:pt idx="63">
                  <c:v>53.863147910314723</c:v>
                </c:pt>
                <c:pt idx="64">
                  <c:v>53.145886942560935</c:v>
                </c:pt>
                <c:pt idx="65">
                  <c:v>52.505385891673598</c:v>
                </c:pt>
                <c:pt idx="66">
                  <c:v>51.943949143806435</c:v>
                </c:pt>
                <c:pt idx="67">
                  <c:v>51.463893895086358</c:v>
                </c:pt>
                <c:pt idx="68">
                  <c:v>51.067544084912413</c:v>
                </c:pt>
                <c:pt idx="69">
                  <c:v>50.757223760801082</c:v>
                </c:pt>
                <c:pt idx="70">
                  <c:v>50.535249879981734</c:v>
                </c:pt>
                <c:pt idx="71">
                  <c:v>50.403924561578833</c:v>
                </c:pt>
                <c:pt idx="72">
                  <c:v>50.365526812787152</c:v>
                </c:pt>
                <c:pt idx="73">
                  <c:v>50.422303762845104</c:v>
                </c:pt>
                <c:pt idx="74">
                  <c:v>50.576461449676572</c:v>
                </c:pt>
                <c:pt idx="75">
                  <c:v>50.830155215609636</c:v>
                </c:pt>
                <c:pt idx="76">
                  <c:v>51.185479780337346</c:v>
                </c:pt>
                <c:pt idx="77">
                  <c:v>51.644459070955691</c:v>
                </c:pt>
                <c:pt idx="78">
                  <c:v>52.20903590017042</c:v>
                </c:pt>
                <c:pt idx="79">
                  <c:v>52.88106159421676</c:v>
                </c:pt>
                <c:pt idx="80">
                  <c:v>53.662285681301967</c:v>
                </c:pt>
                <c:pt idx="81">
                  <c:v>54.554345759054172</c:v>
                </c:pt>
                <c:pt idx="82">
                  <c:v>55.558757665150949</c:v>
                </c:pt>
                <c:pt idx="83">
                  <c:v>56.676906078649722</c:v>
                </c:pt>
                <c:pt idx="84">
                  <c:v>57.910035680245073</c:v>
                </c:pt>
                <c:pt idx="85">
                  <c:v>59.259242997493118</c:v>
                </c:pt>
                <c:pt idx="86">
                  <c:v>60.725469055832605</c:v>
                </c:pt>
                <c:pt idx="87">
                  <c:v>62.309492947947035</c:v>
                </c:pt>
                <c:pt idx="88">
                  <c:v>64.01192642274151</c:v>
                </c:pt>
                <c:pt idx="89">
                  <c:v>65.833209581124777</c:v>
                </c:pt>
                <c:pt idx="90">
                  <c:v>67.773607749235623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1A-404D-AD29-E2D177F42268}"/>
            </c:ext>
          </c:extLst>
        </c:ser>
        <c:ser>
          <c:idx val="11"/>
          <c:order val="11"/>
          <c:tx>
            <c:strRef>
              <c:f>'Challenge 11a'!$N$7</c:f>
              <c:strCache>
                <c:ptCount val="1"/>
                <c:pt idx="0">
                  <c:v>Sec Orange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11a'!$N$8:$N$98</c:f>
              <c:numCache>
                <c:formatCode>0.00</c:formatCode>
                <c:ptCount val="91"/>
                <c:pt idx="0">
                  <c:v>180</c:v>
                </c:pt>
                <c:pt idx="1">
                  <c:v>177.49593345915028</c:v>
                </c:pt>
                <c:pt idx="2">
                  <c:v>174.99246594505138</c:v>
                </c:pt>
                <c:pt idx="3">
                  <c:v>172.49019722763819</c:v>
                </c:pt>
                <c:pt idx="4">
                  <c:v>169.98972856442123</c:v>
                </c:pt>
                <c:pt idx="5">
                  <c:v>167.49166344729167</c:v>
                </c:pt>
                <c:pt idx="6">
                  <c:v>164.99660835294372</c:v>
                </c:pt>
                <c:pt idx="7">
                  <c:v>162.50517349811469</c:v>
                </c:pt>
                <c:pt idx="8">
                  <c:v>160.01797360083717</c:v>
                </c:pt>
                <c:pt idx="9">
                  <c:v>157.53562864889165</c:v>
                </c:pt>
                <c:pt idx="10">
                  <c:v>155.05876467663813</c:v>
                </c:pt>
                <c:pt idx="11">
                  <c:v>152.58801455139439</c:v>
                </c:pt>
                <c:pt idx="12">
                  <c:v>150.12401877051417</c:v>
                </c:pt>
                <c:pt idx="13">
                  <c:v>147.66742627030101</c:v>
                </c:pt>
                <c:pt idx="14">
                  <c:v>145.21889524787184</c:v>
                </c:pt>
                <c:pt idx="15">
                  <c:v>142.77909399705865</c:v>
                </c:pt>
                <c:pt idx="16">
                  <c:v>140.34870175940483</c:v>
                </c:pt>
                <c:pt idx="17">
                  <c:v>137.9284095912754</c:v>
                </c:pt>
                <c:pt idx="18">
                  <c:v>135.51892124805485</c:v>
                </c:pt>
                <c:pt idx="19">
                  <c:v>133.12095408635378</c:v>
                </c:pt>
                <c:pt idx="20">
                  <c:v>130.73523998508193</c:v>
                </c:pt>
                <c:pt idx="21">
                  <c:v>128.36252628617237</c:v>
                </c:pt>
                <c:pt idx="22">
                  <c:v>126.0035767556535</c:v>
                </c:pt>
                <c:pt idx="23">
                  <c:v>123.65917256566757</c:v>
                </c:pt>
                <c:pt idx="24">
                  <c:v>121.33011329791542</c:v>
                </c:pt>
                <c:pt idx="25">
                  <c:v>119.01721796887401</c:v>
                </c:pt>
                <c:pt idx="26">
                  <c:v>116.72132607697732</c:v>
                </c:pt>
                <c:pt idx="27">
                  <c:v>114.44329867177406</c:v>
                </c:pt>
                <c:pt idx="28">
                  <c:v>112.18401944487204</c:v>
                </c:pt>
                <c:pt idx="29">
                  <c:v>109.94439584224591</c:v>
                </c:pt>
                <c:pt idx="30">
                  <c:v>107.72536019722475</c:v>
                </c:pt>
                <c:pt idx="31">
                  <c:v>105.52787088317334</c:v>
                </c:pt>
                <c:pt idx="32">
                  <c:v>103.3529134845493</c:v>
                </c:pt>
                <c:pt idx="33">
                  <c:v>101.20150198463554</c:v>
                </c:pt>
                <c:pt idx="34">
                  <c:v>99.074679967824153</c:v>
                </c:pt>
                <c:pt idx="35">
                  <c:v>96.973521833853368</c:v>
                </c:pt>
                <c:pt idx="36">
                  <c:v>94.899134020868246</c:v>
                </c:pt>
                <c:pt idx="37">
                  <c:v>92.852656233588704</c:v>
                </c:pt>
                <c:pt idx="38">
                  <c:v>90.835262672216686</c:v>
                </c:pt>
                <c:pt idx="39">
                  <c:v>88.848163256995576</c:v>
                </c:pt>
                <c:pt idx="40">
                  <c:v>86.892604842546945</c:v>
                </c:pt>
                <c:pt idx="41">
                  <c:v>84.969872415244538</c:v>
                </c:pt>
                <c:pt idx="42">
                  <c:v>83.081290265944006</c:v>
                </c:pt>
                <c:pt idx="43">
                  <c:v>81.228223129365375</c:v>
                </c:pt>
                <c:pt idx="44">
                  <c:v>79.412077280323984</c:v>
                </c:pt>
                <c:pt idx="45">
                  <c:v>77.634301575818597</c:v>
                </c:pt>
                <c:pt idx="46">
                  <c:v>75.896388430724784</c:v>
                </c:pt>
                <c:pt idx="47">
                  <c:v>74.199874713499952</c:v>
                </c:pt>
                <c:pt idx="48">
                  <c:v>72.546342546896483</c:v>
                </c:pt>
                <c:pt idx="49">
                  <c:v>70.937419997207968</c:v>
                </c:pt>
                <c:pt idx="50">
                  <c:v>69.374781634053988</c:v>
                </c:pt>
                <c:pt idx="51">
                  <c:v>67.860148941150015</c:v>
                </c:pt>
                <c:pt idx="52">
                  <c:v>66.395290556946975</c:v>
                </c:pt>
                <c:pt idx="53">
                  <c:v>64.982022322467145</c:v>
                </c:pt>
                <c:pt idx="54">
                  <c:v>63.622207112151415</c:v>
                </c:pt>
                <c:pt idx="55">
                  <c:v>62.317754422105395</c:v>
                </c:pt>
                <c:pt idx="56">
                  <c:v>61.070619688823598</c:v>
                </c:pt>
                <c:pt idx="57">
                  <c:v>59.882803310341757</c:v>
                </c:pt>
                <c:pt idx="58">
                  <c:v>58.75634934086932</c:v>
                </c:pt>
                <c:pt idx="59">
                  <c:v>57.693343829355456</c:v>
                </c:pt>
                <c:pt idx="60">
                  <c:v>56.695912772207123</c:v>
                </c:pt>
                <c:pt idx="61">
                  <c:v>55.766219650595787</c:v>
                </c:pt>
                <c:pt idx="62">
                  <c:v>54.906462523527011</c:v>
                </c:pt>
                <c:pt idx="63">
                  <c:v>54.118870649201142</c:v>
                </c:pt>
                <c:pt idx="64">
                  <c:v>53.405700609241393</c:v>
                </c:pt>
                <c:pt idx="65">
                  <c:v>52.769231913194687</c:v>
                </c:pt>
                <c:pt idx="66">
                  <c:v>52.211762064391337</c:v>
                </c:pt>
                <c:pt idx="67">
                  <c:v>51.735601072859026</c:v>
                </c:pt>
                <c:pt idx="68">
                  <c:v>51.343065406563028</c:v>
                </c:pt>
                <c:pt idx="69">
                  <c:v>51.03647137882939</c:v>
                </c:pt>
                <c:pt idx="70">
                  <c:v>50.818127977400593</c:v>
                </c:pt>
                <c:pt idx="71">
                  <c:v>50.690329149149079</c:v>
                </c:pt>
                <c:pt idx="72">
                  <c:v>50.655345563965227</c:v>
                </c:pt>
                <c:pt idx="73">
                  <c:v>50.715415891643261</c:v>
                </c:pt>
                <c:pt idx="74">
                  <c:v>50.872737636546219</c:v>
                </c:pt>
                <c:pt idx="75">
                  <c:v>51.129457586254375</c:v>
                </c:pt>
                <c:pt idx="76">
                  <c:v>51.487661942022669</c:v>
                </c:pt>
                <c:pt idx="77">
                  <c:v>51.949366210413416</c:v>
                </c:pt>
                <c:pt idx="78">
                  <c:v>52.516504946575822</c:v>
                </c:pt>
                <c:pt idx="79">
                  <c:v>53.190921449965913</c:v>
                </c:pt>
                <c:pt idx="80">
                  <c:v>53.97435752242643</c:v>
                </c:pt>
                <c:pt idx="81">
                  <c:v>54.868443406098493</c:v>
                </c:pt>
                <c:pt idx="82">
                  <c:v>55.874688024224099</c:v>
                </c:pt>
                <c:pt idx="83">
                  <c:v>56.994469651165957</c:v>
                </c:pt>
                <c:pt idx="84">
                  <c:v>58.229027138624247</c:v>
                </c:pt>
                <c:pt idx="85">
                  <c:v>59.579451822824694</c:v>
                </c:pt>
                <c:pt idx="86">
                  <c:v>61.046680232266567</c:v>
                </c:pt>
                <c:pt idx="87">
                  <c:v>62.631487707389908</c:v>
                </c:pt>
                <c:pt idx="88">
                  <c:v>64.334483032350761</c:v>
                </c:pt>
                <c:pt idx="89">
                  <c:v>66.156104165148179</c:v>
                </c:pt>
                <c:pt idx="90">
                  <c:v>68.096615135963589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1A-404D-AD29-E2D177F42268}"/>
            </c:ext>
          </c:extLst>
        </c:ser>
        <c:ser>
          <c:idx val="12"/>
          <c:order val="12"/>
          <c:tx>
            <c:strRef>
              <c:f>'Challenge 11a'!$O$7</c:f>
              <c:strCache>
                <c:ptCount val="1"/>
                <c:pt idx="0">
                  <c:v>Sec Yellow 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11a'!$O$8:$O$98</c:f>
              <c:numCache>
                <c:formatCode>0.00</c:formatCode>
                <c:ptCount val="91"/>
                <c:pt idx="0">
                  <c:v>180</c:v>
                </c:pt>
                <c:pt idx="1">
                  <c:v>177.49796136825341</c:v>
                </c:pt>
                <c:pt idx="2">
                  <c:v>174.99652218932124</c:v>
                </c:pt>
                <c:pt idx="3">
                  <c:v>172.49628265889584</c:v>
                </c:pt>
                <c:pt idx="4">
                  <c:v>169.99784445962911</c:v>
                </c:pt>
                <c:pt idx="5">
                  <c:v>167.50181150762</c:v>
                </c:pt>
                <c:pt idx="6">
                  <c:v>165.00879070250818</c:v>
                </c:pt>
                <c:pt idx="7">
                  <c:v>162.51939268236984</c:v>
                </c:pt>
                <c:pt idx="8">
                  <c:v>160.03423258460668</c:v>
                </c:pt>
                <c:pt idx="9">
                  <c:v>157.55393081401172</c:v>
                </c:pt>
                <c:pt idx="10">
                  <c:v>155.07911381918672</c:v>
                </c:pt>
                <c:pt idx="11">
                  <c:v>152.61041487847436</c:v>
                </c:pt>
                <c:pt idx="12">
                  <c:v>150.14847489655369</c:v>
                </c:pt>
                <c:pt idx="13">
                  <c:v>147.69394321283011</c:v>
                </c:pt>
                <c:pt idx="14">
                  <c:v>145.24747842272899</c:v>
                </c:pt>
                <c:pt idx="15">
                  <c:v>142.80974921297576</c:v>
                </c:pt>
                <c:pt idx="16">
                  <c:v>140.38143521191404</c:v>
                </c:pt>
                <c:pt idx="17">
                  <c:v>137.96322785587486</c:v>
                </c:pt>
                <c:pt idx="18">
                  <c:v>135.5558312725648</c:v>
                </c:pt>
                <c:pt idx="19">
                  <c:v>133.15996318238791</c:v>
                </c:pt>
                <c:pt idx="20">
                  <c:v>130.77635581855256</c:v>
                </c:pt>
                <c:pt idx="21">
                  <c:v>128.40575686673969</c:v>
                </c:pt>
                <c:pt idx="22">
                  <c:v>126.04893042502377</c:v>
                </c:pt>
                <c:pt idx="23">
                  <c:v>123.70665798463513</c:v>
                </c:pt>
                <c:pt idx="24">
                  <c:v>121.379739432037</c:v>
                </c:pt>
                <c:pt idx="25">
                  <c:v>119.06899407265382</c:v>
                </c:pt>
                <c:pt idx="26">
                  <c:v>116.77526167643362</c:v>
                </c:pt>
                <c:pt idx="27">
                  <c:v>114.49940354524784</c:v>
                </c:pt>
                <c:pt idx="28">
                  <c:v>112.24230360192881</c:v>
                </c:pt>
                <c:pt idx="29">
                  <c:v>110.00486950051263</c:v>
                </c:pt>
                <c:pt idx="30">
                  <c:v>107.78803375699164</c:v>
                </c:pt>
                <c:pt idx="31">
                  <c:v>105.59275489958259</c:v>
                </c:pt>
                <c:pt idx="32">
                  <c:v>103.42001863718002</c:v>
                </c:pt>
                <c:pt idx="33">
                  <c:v>101.27083904428395</c:v>
                </c:pt>
                <c:pt idx="34">
                  <c:v>99.146259760269089</c:v>
                </c:pt>
                <c:pt idx="35">
                  <c:v>97.047355200384828</c:v>
                </c:pt>
                <c:pt idx="36">
                  <c:v>94.975231775347822</c:v>
                </c:pt>
                <c:pt idx="37">
                  <c:v>92.93102911580209</c:v>
                </c:pt>
                <c:pt idx="38">
                  <c:v>90.915921297267801</c:v>
                </c:pt>
                <c:pt idx="39">
                  <c:v>88.931118060487023</c:v>
                </c:pt>
                <c:pt idx="40">
                  <c:v>86.977866021284399</c:v>
                </c:pt>
                <c:pt idx="41">
                  <c:v>85.057449863197519</c:v>
                </c:pt>
                <c:pt idx="42">
                  <c:v>83.171193505195305</c:v>
                </c:pt>
                <c:pt idx="43">
                  <c:v>81.320461235781693</c:v>
                </c:pt>
                <c:pt idx="44">
                  <c:v>79.506658803683223</c:v>
                </c:pt>
                <c:pt idx="45">
                  <c:v>77.731234454138985</c:v>
                </c:pt>
                <c:pt idx="46">
                  <c:v>75.995679898551657</c:v>
                </c:pt>
                <c:pt idx="47">
                  <c:v>74.301531203924412</c:v>
                </c:pt>
                <c:pt idx="48">
                  <c:v>72.650369587104024</c:v>
                </c:pt>
                <c:pt idx="49">
                  <c:v>71.043822097385288</c:v>
                </c:pt>
                <c:pt idx="50">
                  <c:v>69.483562169519104</c:v>
                </c:pt>
                <c:pt idx="51">
                  <c:v>67.971310027620035</c:v>
                </c:pt>
                <c:pt idx="52">
                  <c:v>66.508832918912475</c:v>
                </c:pt>
                <c:pt idx="53">
                  <c:v>65.097945154708384</c:v>
                </c:pt>
                <c:pt idx="54">
                  <c:v>63.740507934511356</c:v>
                </c:pt>
                <c:pt idx="55">
                  <c:v>62.43842892772372</c:v>
                </c:pt>
                <c:pt idx="56">
                  <c:v>61.193661586138205</c:v>
                </c:pt>
                <c:pt idx="57">
                  <c:v>60.008204159281945</c:v>
                </c:pt>
                <c:pt idx="58">
                  <c:v>58.884098383793997</c:v>
                </c:pt>
                <c:pt idx="59">
                  <c:v>57.823427817432446</c:v>
                </c:pt>
                <c:pt idx="60">
                  <c:v>56.828315788088304</c:v>
                </c:pt>
                <c:pt idx="61">
                  <c:v>55.900922928408903</c:v>
                </c:pt>
                <c:pt idx="62">
                  <c:v>55.043444267387656</c:v>
                </c:pt>
                <c:pt idx="63">
                  <c:v>54.258105851634838</c:v>
                </c:pt>
                <c:pt idx="64">
                  <c:v>53.547160871103841</c:v>
                </c:pt>
                <c:pt idx="65">
                  <c:v>52.912885266872649</c:v>
                </c:pt>
                <c:pt idx="66">
                  <c:v>52.3575728022671</c:v>
                </c:pt>
                <c:pt idx="67">
                  <c:v>51.883529583210247</c:v>
                </c:pt>
                <c:pt idx="68">
                  <c:v>51.493068019246778</c:v>
                </c:pt>
                <c:pt idx="69">
                  <c:v>51.188500223262338</c:v>
                </c:pt>
                <c:pt idx="70">
                  <c:v>50.972130855478099</c:v>
                </c:pt>
                <c:pt idx="71">
                  <c:v>50.846249425845713</c:v>
                </c:pt>
                <c:pt idx="72">
                  <c:v>50.813122078421145</c:v>
                </c:pt>
                <c:pt idx="73">
                  <c:v>50.874982891544448</c:v>
                </c:pt>
                <c:pt idx="74">
                  <c:v>51.034024738561527</c:v>
                </c:pt>
                <c:pt idx="75">
                  <c:v>51.292389765178143</c:v>
                </c:pt>
                <c:pt idx="76">
                  <c:v>51.652159551087266</c:v>
                </c:pt>
                <c:pt idx="77">
                  <c:v>52.115345034980919</c:v>
                </c:pt>
                <c:pt idx="78">
                  <c:v>52.683876293083472</c:v>
                </c:pt>
                <c:pt idx="79">
                  <c:v>53.359592271592135</c:v>
                </c:pt>
                <c:pt idx="80">
                  <c:v>54.144230582460523</c:v>
                </c:pt>
                <c:pt idx="81">
                  <c:v>55.039417479453959</c:v>
                </c:pt>
                <c:pt idx="82">
                  <c:v>56.046658136930489</c:v>
                </c:pt>
                <c:pt idx="83">
                  <c:v>57.167327357028171</c:v>
                </c:pt>
                <c:pt idx="84">
                  <c:v>58.402660831565186</c:v>
                </c:pt>
                <c:pt idx="85">
                  <c:v>59.753747082746543</c:v>
                </c:pt>
                <c:pt idx="86">
                  <c:v>61.221520201590977</c:v>
                </c:pt>
                <c:pt idx="87">
                  <c:v>62.8067534948039</c:v>
                </c:pt>
                <c:pt idx="88">
                  <c:v>64.510054139694034</c:v>
                </c:pt>
                <c:pt idx="89">
                  <c:v>66.331858932870659</c:v>
                </c:pt>
                <c:pt idx="90">
                  <c:v>68.27243120216076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1A-404D-AD29-E2D177F42268}"/>
            </c:ext>
          </c:extLst>
        </c:ser>
        <c:ser>
          <c:idx val="13"/>
          <c:order val="13"/>
          <c:tx>
            <c:strRef>
              <c:f>'Challenge 11a'!$P$7</c:f>
              <c:strCache>
                <c:ptCount val="1"/>
                <c:pt idx="0">
                  <c:v>Sec Green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11a'!$P$8:$P$98</c:f>
              <c:numCache>
                <c:formatCode>0.00</c:formatCode>
                <c:ptCount val="91"/>
                <c:pt idx="0">
                  <c:v>180</c:v>
                </c:pt>
                <c:pt idx="1">
                  <c:v>177.50167446262409</c:v>
                </c:pt>
                <c:pt idx="2">
                  <c:v>175.00394915574662</c:v>
                </c:pt>
                <c:pt idx="3">
                  <c:v>172.50742505217832</c:v>
                </c:pt>
                <c:pt idx="4">
                  <c:v>170.01270461055111</c:v>
                </c:pt>
                <c:pt idx="5">
                  <c:v>167.52039252121938</c:v>
                </c:pt>
                <c:pt idx="6">
                  <c:v>165.03109645574628</c:v>
                </c:pt>
                <c:pt idx="7">
                  <c:v>162.54542782116454</c:v>
                </c:pt>
                <c:pt idx="8">
                  <c:v>160.06400252019489</c:v>
                </c:pt>
                <c:pt idx="9">
                  <c:v>157.58744171859897</c:v>
                </c:pt>
                <c:pt idx="10">
                  <c:v>155.11637262083298</c:v>
                </c:pt>
                <c:pt idx="11">
                  <c:v>152.65142925515812</c:v>
                </c:pt>
                <c:pt idx="12">
                  <c:v>150.19325326934717</c:v>
                </c:pt>
                <c:pt idx="13">
                  <c:v>147.74249473811031</c:v>
                </c:pt>
                <c:pt idx="14">
                  <c:v>145.29981298333996</c:v>
                </c:pt>
                <c:pt idx="15">
                  <c:v>142.86587740824831</c:v>
                </c:pt>
                <c:pt idx="16">
                  <c:v>140.44136834643845</c:v>
                </c:pt>
                <c:pt idx="17">
                  <c:v>138.02697792691211</c:v>
                </c:pt>
                <c:pt idx="18">
                  <c:v>135.62341095597122</c:v>
                </c:pt>
                <c:pt idx="19">
                  <c:v>133.23138581691501</c:v>
                </c:pt>
                <c:pt idx="20">
                  <c:v>130.85163538837338</c:v>
                </c:pt>
                <c:pt idx="21">
                  <c:v>128.48490798203869</c:v>
                </c:pt>
                <c:pt idx="22">
                  <c:v>126.13196830047451</c:v>
                </c:pt>
                <c:pt idx="23">
                  <c:v>123.79359841557529</c:v>
                </c:pt>
                <c:pt idx="24">
                  <c:v>121.47059876813555</c:v>
                </c:pt>
                <c:pt idx="25">
                  <c:v>119.16378918884944</c:v>
                </c:pt>
                <c:pt idx="26">
                  <c:v>116.8740099409077</c:v>
                </c:pt>
                <c:pt idx="27">
                  <c:v>114.60212278417725</c:v>
                </c:pt>
                <c:pt idx="28">
                  <c:v>112.34901206074704</c:v>
                </c:pt>
                <c:pt idx="29">
                  <c:v>110.11558580138976</c:v>
                </c:pt>
                <c:pt idx="30">
                  <c:v>107.90277685222429</c:v>
                </c:pt>
                <c:pt idx="31">
                  <c:v>105.71154402056706</c:v>
                </c:pt>
                <c:pt idx="32">
                  <c:v>103.54287323862144</c:v>
                </c:pt>
                <c:pt idx="33">
                  <c:v>101.39777874327632</c:v>
                </c:pt>
                <c:pt idx="34">
                  <c:v>99.277304269860934</c:v>
                </c:pt>
                <c:pt idx="35">
                  <c:v>97.182524257227016</c:v>
                </c:pt>
                <c:pt idx="36">
                  <c:v>95.114545061002616</c:v>
                </c:pt>
                <c:pt idx="37">
                  <c:v>93.074506171274351</c:v>
                </c:pt>
                <c:pt idx="38">
                  <c:v>91.063581430305874</c:v>
                </c:pt>
                <c:pt idx="39">
                  <c:v>89.082980245185723</c:v>
                </c:pt>
                <c:pt idx="40">
                  <c:v>87.133948789512971</c:v>
                </c:pt>
                <c:pt idx="41">
                  <c:v>85.217771187368015</c:v>
                </c:pt>
                <c:pt idx="42">
                  <c:v>83.335770671883552</c:v>
                </c:pt>
                <c:pt idx="43">
                  <c:v>81.489310709714886</c:v>
                </c:pt>
                <c:pt idx="44">
                  <c:v>79.679796081615024</c:v>
                </c:pt>
                <c:pt idx="45">
                  <c:v>77.90867390814924</c:v>
                </c:pt>
                <c:pt idx="46">
                  <c:v>76.177434608329293</c:v>
                </c:pt>
                <c:pt idx="47">
                  <c:v>74.487612777625856</c:v>
                </c:pt>
                <c:pt idx="48">
                  <c:v>72.840787970421928</c:v>
                </c:pt>
                <c:pt idx="49">
                  <c:v>71.238585370518251</c:v>
                </c:pt>
                <c:pt idx="50">
                  <c:v>69.682676331804544</c:v>
                </c:pt>
                <c:pt idx="51">
                  <c:v>68.174778769675726</c:v>
                </c:pt>
                <c:pt idx="52">
                  <c:v>66.7166573822374</c:v>
                </c:pt>
                <c:pt idx="53">
                  <c:v>65.310123678814705</c:v>
                </c:pt>
                <c:pt idx="54">
                  <c:v>63.957035791801673</c:v>
                </c:pt>
                <c:pt idx="55">
                  <c:v>62.659298046493404</c:v>
                </c:pt>
                <c:pt idx="56">
                  <c:v>61.418860262269931</c:v>
                </c:pt>
                <c:pt idx="57">
                  <c:v>60.237716757411818</c:v>
                </c:pt>
                <c:pt idx="58">
                  <c:v>59.117905028965424</c:v>
                </c:pt>
                <c:pt idx="59">
                  <c:v>58.061504078516151</c:v>
                </c:pt>
                <c:pt idx="60">
                  <c:v>57.070632354528698</c:v>
                </c:pt>
                <c:pt idx="61">
                  <c:v>56.147445282170708</c:v>
                </c:pt>
                <c:pt idx="62">
                  <c:v>55.294132352296145</c:v>
                </c:pt>
                <c:pt idx="63">
                  <c:v>54.512913742654092</c:v>
                </c:pt>
                <c:pt idx="64">
                  <c:v>53.806036446445233</c:v>
                </c:pt>
                <c:pt idx="65">
                  <c:v>53.175769886190722</c:v>
                </c:pt>
                <c:pt idx="66">
                  <c:v>52.62440099455398</c:v>
                </c:pt>
                <c:pt idx="67">
                  <c:v>52.154228748345702</c:v>
                </c:pt>
                <c:pt idx="68">
                  <c:v>51.767558147485147</c:v>
                </c:pt>
                <c:pt idx="69">
                  <c:v>51.466693637224012</c:v>
                </c:pt>
                <c:pt idx="70">
                  <c:v>51.253931979455842</c:v>
                </c:pt>
                <c:pt idx="71">
                  <c:v>51.131554587415394</c:v>
                </c:pt>
                <c:pt idx="72">
                  <c:v>51.101819347450032</c:v>
                </c:pt>
                <c:pt idx="73">
                  <c:v>51.166951961702694</c:v>
                </c:pt>
                <c:pt idx="74">
                  <c:v>51.329136856352363</c:v>
                </c:pt>
                <c:pt idx="75">
                  <c:v>51.590507711292901</c:v>
                </c:pt>
                <c:pt idx="76">
                  <c:v>51.953137678558733</c:v>
                </c:pt>
                <c:pt idx="77">
                  <c:v>52.419029368134829</c:v>
                </c:pt>
                <c:pt idx="78">
                  <c:v>52.990104690685314</c:v>
                </c:pt>
                <c:pt idx="79">
                  <c:v>53.668194656837898</c:v>
                </c:pt>
                <c:pt idx="80">
                  <c:v>54.455029241586885</c:v>
                </c:pt>
                <c:pt idx="81">
                  <c:v>55.352227429749405</c:v>
                </c:pt>
                <c:pt idx="82">
                  <c:v>56.361287563830956</c:v>
                </c:pt>
                <c:pt idx="83">
                  <c:v>57.483578118811749</c:v>
                </c:pt>
                <c:pt idx="84">
                  <c:v>58.7203290289346</c:v>
                </c:pt>
                <c:pt idx="85">
                  <c:v>60.072623689350564</c:v>
                </c:pt>
                <c:pt idx="86">
                  <c:v>61.541391750320997</c:v>
                </c:pt>
                <c:pt idx="87">
                  <c:v>63.127402813536946</c:v>
                </c:pt>
                <c:pt idx="88">
                  <c:v>64.831261129099971</c:v>
                </c:pt>
                <c:pt idx="89">
                  <c:v>66.653401377966475</c:v>
                </c:pt>
                <c:pt idx="90">
                  <c:v>68.594085608539274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1A-404D-AD29-E2D177F42268}"/>
            </c:ext>
          </c:extLst>
        </c:ser>
        <c:ser>
          <c:idx val="14"/>
          <c:order val="14"/>
          <c:tx>
            <c:strRef>
              <c:f>'Challenge 11a'!$Q$7</c:f>
              <c:strCache>
                <c:ptCount val="1"/>
                <c:pt idx="0">
                  <c:v>Sec Cyan</c:v>
                </c:pt>
              </c:strCache>
            </c:strRef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11a'!$Q$8:$Q$98</c:f>
              <c:numCache>
                <c:formatCode>0.00</c:formatCode>
                <c:ptCount val="91"/>
                <c:pt idx="0">
                  <c:v>180</c:v>
                </c:pt>
                <c:pt idx="1">
                  <c:v>177.50571813178632</c:v>
                </c:pt>
                <c:pt idx="2">
                  <c:v>175.0120373374088</c:v>
                </c:pt>
                <c:pt idx="3">
                  <c:v>172.5195594323923</c:v>
                </c:pt>
                <c:pt idx="4">
                  <c:v>170.02888771682834</c:v>
                </c:pt>
                <c:pt idx="5">
                  <c:v>167.5406277206302</c:v>
                </c:pt>
                <c:pt idx="6">
                  <c:v>165.05538795235054</c:v>
                </c:pt>
                <c:pt idx="7">
                  <c:v>162.57378065274298</c:v>
                </c:pt>
                <c:pt idx="8">
                  <c:v>160.09642255424305</c:v>
                </c:pt>
                <c:pt idx="9">
                  <c:v>157.62393564753685</c:v>
                </c:pt>
                <c:pt idx="10">
                  <c:v>155.15694795637623</c:v>
                </c:pt>
                <c:pt idx="11">
                  <c:v>152.69609432178609</c:v>
                </c:pt>
                <c:pt idx="12">
                  <c:v>150.2420171967961</c:v>
                </c:pt>
                <c:pt idx="13">
                  <c:v>147.79536745280916</c:v>
                </c:pt>
                <c:pt idx="14">
                  <c:v>145.35680519869689</c:v>
                </c:pt>
                <c:pt idx="15">
                  <c:v>142.92700061368555</c:v>
                </c:pt>
                <c:pt idx="16">
                  <c:v>140.50663479506215</c:v>
                </c:pt>
                <c:pt idx="17">
                  <c:v>138.09640062169319</c:v>
                </c:pt>
                <c:pt idx="18">
                  <c:v>135.69700363429976</c:v>
                </c:pt>
                <c:pt idx="19">
                  <c:v>133.30916293337964</c:v>
                </c:pt>
                <c:pt idx="20">
                  <c:v>130.93361209560243</c:v>
                </c:pt>
                <c:pt idx="21">
                  <c:v>128.57110010942739</c:v>
                </c:pt>
                <c:pt idx="22">
                  <c:v>126.22239233060598</c:v>
                </c:pt>
                <c:pt idx="23">
                  <c:v>123.88827145812951</c:v>
                </c:pt>
                <c:pt idx="24">
                  <c:v>121.56953853106262</c:v>
                </c:pt>
                <c:pt idx="25">
                  <c:v>119.26701394656826</c:v>
                </c:pt>
                <c:pt idx="26">
                  <c:v>116.98153849927147</c:v>
                </c:pt>
                <c:pt idx="27">
                  <c:v>114.71397444193103</c:v>
                </c:pt>
                <c:pt idx="28">
                  <c:v>112.46520656718209</c:v>
                </c:pt>
                <c:pt idx="29">
                  <c:v>110.23614330988026</c:v>
                </c:pt>
                <c:pt idx="30">
                  <c:v>108.0277178693126</c:v>
                </c:pt>
                <c:pt idx="31">
                  <c:v>105.84088935024178</c:v>
                </c:pt>
                <c:pt idx="32">
                  <c:v>103.67664392141367</c:v>
                </c:pt>
                <c:pt idx="33">
                  <c:v>101.53599598977732</c:v>
                </c:pt>
                <c:pt idx="34">
                  <c:v>99.419989388244716</c:v>
                </c:pt>
                <c:pt idx="35">
                  <c:v>97.329698574341251</c:v>
                </c:pt>
                <c:pt idx="36">
                  <c:v>95.266229836571682</c:v>
                </c:pt>
                <c:pt idx="37">
                  <c:v>93.230722504740754</c:v>
                </c:pt>
                <c:pt idx="38">
                  <c:v>91.224350159820062</c:v>
                </c:pt>
                <c:pt idx="39">
                  <c:v>89.248321838239889</c:v>
                </c:pt>
                <c:pt idx="40">
                  <c:v>87.303883224703497</c:v>
                </c:pt>
                <c:pt idx="41">
                  <c:v>85.392317826763986</c:v>
                </c:pt>
                <c:pt idx="42">
                  <c:v>83.514948123475278</c:v>
                </c:pt>
                <c:pt idx="43">
                  <c:v>81.673136679418832</c:v>
                </c:pt>
                <c:pt idx="44">
                  <c:v>79.8682872143211</c:v>
                </c:pt>
                <c:pt idx="45">
                  <c:v>78.101845617311142</c:v>
                </c:pt>
                <c:pt idx="46">
                  <c:v>76.375300893626587</c:v>
                </c:pt>
                <c:pt idx="47">
                  <c:v>74.690186030259696</c:v>
                </c:pt>
                <c:pt idx="48">
                  <c:v>73.048078765655561</c:v>
                </c:pt>
                <c:pt idx="49">
                  <c:v>71.450602247134867</c:v>
                </c:pt>
                <c:pt idx="50">
                  <c:v>69.899425558229979</c:v>
                </c:pt>
                <c:pt idx="51">
                  <c:v>68.39626409660886</c:v>
                </c:pt>
                <c:pt idx="52">
                  <c:v>66.94287978174151</c:v>
                </c:pt>
                <c:pt idx="53">
                  <c:v>65.541081069957556</c:v>
                </c:pt>
                <c:pt idx="54">
                  <c:v>64.192722753086315</c:v>
                </c:pt>
                <c:pt idx="55">
                  <c:v>62.899705515499818</c:v>
                </c:pt>
                <c:pt idx="56">
                  <c:v>61.663975223132951</c:v>
                </c:pt>
                <c:pt idx="57">
                  <c:v>60.487521916989891</c:v>
                </c:pt>
                <c:pt idx="58">
                  <c:v>59.372378482810973</c:v>
                </c:pt>
                <c:pt idx="59">
                  <c:v>58.320618968040179</c:v>
                </c:pt>
                <c:pt idx="60">
                  <c:v>57.334356517064094</c:v>
                </c:pt>
                <c:pt idx="61">
                  <c:v>56.415740895965001</c:v>
                </c:pt>
                <c:pt idx="62">
                  <c:v>55.566955578823297</c:v>
                </c:pt>
                <c:pt idx="63">
                  <c:v>54.790214369001063</c:v>
                </c:pt>
                <c:pt idx="64">
                  <c:v>54.087757530914189</c:v>
                </c:pt>
                <c:pt idx="65">
                  <c:v>53.46184741064161</c:v>
                </c:pt>
                <c:pt idx="66">
                  <c:v>52.914763527399487</c:v>
                </c:pt>
                <c:pt idx="67">
                  <c:v>52.448797122478709</c:v>
                </c:pt>
                <c:pt idx="68">
                  <c:v>52.066245157766787</c:v>
                </c:pt>
                <c:pt idx="69">
                  <c:v>51.769403762467448</c:v>
                </c:pt>
                <c:pt idx="70">
                  <c:v>51.560561134099999</c:v>
                </c:pt>
                <c:pt idx="71">
                  <c:v>51.441989908272888</c:v>
                </c:pt>
                <c:pt idx="72">
                  <c:v>51.415939021018914</c:v>
                </c:pt>
                <c:pt idx="73">
                  <c:v>51.484625097548019</c:v>
                </c:pt>
                <c:pt idx="74">
                  <c:v>51.650223411955949</c:v>
                </c:pt>
                <c:pt idx="75">
                  <c:v>51.914858473545507</c:v>
                </c:pt>
                <c:pt idx="76">
                  <c:v>52.280594306701403</c:v>
                </c:pt>
                <c:pt idx="77">
                  <c:v>52.749424502449983</c:v>
                </c:pt>
                <c:pt idx="78">
                  <c:v>53.323262130577916</c:v>
                </c:pt>
                <c:pt idx="79">
                  <c:v>54.003929611142382</c:v>
                </c:pt>
                <c:pt idx="80">
                  <c:v>54.793148652994319</c:v>
                </c:pt>
                <c:pt idx="81">
                  <c:v>55.692530374170872</c:v>
                </c:pt>
                <c:pt idx="82">
                  <c:v>56.703565724338716</c:v>
                </c:pt>
                <c:pt idx="83">
                  <c:v>57.827616332531136</c:v>
                </c:pt>
                <c:pt idx="84">
                  <c:v>59.065905903946941</c:v>
                </c:pt>
                <c:pt idx="85">
                  <c:v>60.419512287333191</c:v>
                </c:pt>
                <c:pt idx="86">
                  <c:v>61.88936032934032</c:v>
                </c:pt>
                <c:pt idx="87">
                  <c:v>63.476215624165889</c:v>
                </c:pt>
                <c:pt idx="88">
                  <c:v>65.180679255886787</c:v>
                </c:pt>
                <c:pt idx="89">
                  <c:v>67.003183617288869</c:v>
                </c:pt>
                <c:pt idx="90">
                  <c:v>68.943989373058173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1A-404D-AD29-E2D177F42268}"/>
            </c:ext>
          </c:extLst>
        </c:ser>
        <c:ser>
          <c:idx val="15"/>
          <c:order val="15"/>
          <c:tx>
            <c:strRef>
              <c:f>'Challenge 11a'!$R$7</c:f>
              <c:strCache>
                <c:ptCount val="1"/>
                <c:pt idx="0">
                  <c:v>Sec Blue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'Challenge 11a'!$R$8:$R$98</c:f>
              <c:numCache>
                <c:formatCode>0.00</c:formatCode>
                <c:ptCount val="91"/>
                <c:pt idx="0">
                  <c:v>180</c:v>
                </c:pt>
                <c:pt idx="1">
                  <c:v>177.50975453733932</c:v>
                </c:pt>
                <c:pt idx="2">
                  <c:v>175.02011098661509</c:v>
                </c:pt>
                <c:pt idx="3">
                  <c:v>172.5316720008224</c:v>
                </c:pt>
                <c:pt idx="4">
                  <c:v>170.04504171625507</c:v>
                </c:pt>
                <c:pt idx="5">
                  <c:v>167.56082649710822</c:v>
                </c:pt>
                <c:pt idx="6">
                  <c:v>165.07963568362064</c:v>
                </c:pt>
                <c:pt idx="7">
                  <c:v>162.60208234493058</c:v>
                </c:pt>
                <c:pt idx="8">
                  <c:v>160.12878403781289</c:v>
                </c:pt>
                <c:pt idx="9">
                  <c:v>157.66036357245733</c:v>
                </c:pt>
                <c:pt idx="10">
                  <c:v>155.19744978643854</c:v>
                </c:pt>
                <c:pt idx="11">
                  <c:v>152.74067832801484</c:v>
                </c:pt>
                <c:pt idx="12">
                  <c:v>150.29069244987897</c:v>
                </c:pt>
                <c:pt idx="13">
                  <c:v>147.84814381446336</c:v>
                </c:pt>
                <c:pt idx="14">
                  <c:v>145.41369331188105</c:v>
                </c:pt>
                <c:pt idx="15">
                  <c:v>142.98801189155495</c:v>
                </c:pt>
                <c:pt idx="16">
                  <c:v>140.57178140855427</c:v>
                </c:pt>
                <c:pt idx="17">
                  <c:v>138.16569548561949</c:v>
                </c:pt>
                <c:pt idx="18">
                  <c:v>135.7704603918074</c:v>
                </c:pt>
                <c:pt idx="19">
                  <c:v>133.38679593863469</c:v>
                </c:pt>
                <c:pt idx="20">
                  <c:v>131.01543639453223</c:v>
                </c:pt>
                <c:pt idx="21">
                  <c:v>128.65713141834635</c:v>
                </c:pt>
                <c:pt idx="22">
                  <c:v>126.31264701253464</c:v>
                </c:pt>
                <c:pt idx="23">
                  <c:v>123.98276649660031</c:v>
                </c:pt>
                <c:pt idx="24">
                  <c:v>121.66829150119129</c:v>
                </c:pt>
                <c:pt idx="25">
                  <c:v>119.37004298315181</c:v>
                </c:pt>
                <c:pt idx="26">
                  <c:v>117.08886226165654</c:v>
                </c:pt>
                <c:pt idx="27">
                  <c:v>114.82561207537864</c:v>
                </c:pt>
                <c:pt idx="28">
                  <c:v>112.58117766043536</c:v>
                </c:pt>
                <c:pt idx="29">
                  <c:v>110.35646784862288</c:v>
                </c:pt>
                <c:pt idx="30">
                  <c:v>108.15241618518564</c:v>
                </c:pt>
                <c:pt idx="31">
                  <c:v>105.96998206506643</c:v>
                </c:pt>
                <c:pt idx="32">
                  <c:v>103.8101518862469</c:v>
                </c:pt>
                <c:pt idx="33">
                  <c:v>101.67394021840724</c:v>
                </c:pt>
                <c:pt idx="34">
                  <c:v>99.562390984712408</c:v>
                </c:pt>
                <c:pt idx="35">
                  <c:v>97.476578654055459</c:v>
                </c:pt>
                <c:pt idx="36">
                  <c:v>95.417609440564746</c:v>
                </c:pt>
                <c:pt idx="37">
                  <c:v>93.386622506596353</c:v>
                </c:pt>
                <c:pt idx="38">
                  <c:v>91.384791164786748</c:v>
                </c:pt>
                <c:pt idx="39">
                  <c:v>89.413324074032175</c:v>
                </c:pt>
                <c:pt idx="40">
                  <c:v>87.473466423480374</c:v>
                </c:pt>
                <c:pt idx="41">
                  <c:v>85.566501097767883</c:v>
                </c:pt>
                <c:pt idx="42">
                  <c:v>83.69374981581305</c:v>
                </c:pt>
                <c:pt idx="43">
                  <c:v>81.856574234467445</c:v>
                </c:pt>
                <c:pt idx="44">
                  <c:v>80.056377007250887</c:v>
                </c:pt>
                <c:pt idx="45">
                  <c:v>78.294602787237409</c:v>
                </c:pt>
                <c:pt idx="46">
                  <c:v>76.572739161923892</c:v>
                </c:pt>
                <c:pt idx="47">
                  <c:v>74.892317506611676</c:v>
                </c:pt>
                <c:pt idx="48">
                  <c:v>73.254913741459234</c:v>
                </c:pt>
                <c:pt idx="49">
                  <c:v>71.662148975941562</c:v>
                </c:pt>
                <c:pt idx="50">
                  <c:v>70.115690022980118</c:v>
                </c:pt>
                <c:pt idx="51">
                  <c:v>68.617249763512035</c:v>
                </c:pt>
                <c:pt idx="52">
                  <c:v>67.168587340765242</c:v>
                </c:pt>
                <c:pt idx="53">
                  <c:v>65.771508162020552</c:v>
                </c:pt>
                <c:pt idx="54">
                  <c:v>64.427863684206045</c:v>
                </c:pt>
                <c:pt idx="55">
                  <c:v>63.139550958322758</c:v>
                </c:pt>
                <c:pt idx="56">
                  <c:v>61.908511906478083</c:v>
                </c:pt>
                <c:pt idx="57">
                  <c:v>60.736732304264194</c:v>
                </c:pt>
                <c:pt idx="58">
                  <c:v>59.626240440409958</c:v>
                </c:pt>
                <c:pt idx="59">
                  <c:v>58.579105425127636</c:v>
                </c:pt>
                <c:pt idx="60">
                  <c:v>57.59743511842845</c:v>
                </c:pt>
                <c:pt idx="61">
                  <c:v>56.683373649980979</c:v>
                </c:pt>
                <c:pt idx="62">
                  <c:v>55.839098502895183</c:v>
                </c:pt>
                <c:pt idx="63">
                  <c:v>55.066817135229144</c:v>
                </c:pt>
                <c:pt idx="64">
                  <c:v>54.368763115104173</c:v>
                </c:pt>
                <c:pt idx="65">
                  <c:v>53.747191748159082</c:v>
                </c:pt>
                <c:pt idx="66">
                  <c:v>53.204375179747387</c:v>
                </c:pt>
                <c:pt idx="67">
                  <c:v>52.742596958842228</c:v>
                </c:pt>
                <c:pt idx="68">
                  <c:v>52.36414605611003</c:v>
                </c:pt>
                <c:pt idx="69">
                  <c:v>52.071310335068631</c:v>
                </c:pt>
                <c:pt idx="70">
                  <c:v>51.866369482661526</c:v>
                </c:pt>
                <c:pt idx="71">
                  <c:v>51.751587413930338</c:v>
                </c:pt>
                <c:pt idx="72">
                  <c:v>51.729204174675715</c:v>
                </c:pt>
                <c:pt idx="73">
                  <c:v>51.801427375966966</c:v>
                </c:pt>
                <c:pt idx="74">
                  <c:v>51.970423204938641</c:v>
                </c:pt>
                <c:pt idx="75">
                  <c:v>52.238307067296887</c:v>
                </c:pt>
                <c:pt idx="76">
                  <c:v>52.607133928118174</c:v>
                </c:pt>
                <c:pt idx="77">
                  <c:v>53.078888428560902</c:v>
                </c:pt>
                <c:pt idx="78">
                  <c:v>53.655474866714712</c:v>
                </c:pt>
                <c:pt idx="79">
                  <c:v>54.338707140621295</c:v>
                </c:pt>
                <c:pt idx="80">
                  <c:v>55.130298760155142</c:v>
                </c:pt>
                <c:pt idx="81">
                  <c:v>56.031853041558918</c:v>
                </c:pt>
                <c:pt idx="82">
                  <c:v>57.04485360365112</c:v>
                </c:pt>
                <c:pt idx="83">
                  <c:v>58.170655287700015</c:v>
                </c:pt>
                <c:pt idx="84">
                  <c:v>59.410475623434309</c:v>
                </c:pt>
                <c:pt idx="85">
                  <c:v>60.765386961399884</c:v>
                </c:pt>
                <c:pt idx="86">
                  <c:v>62.236309386757739</c:v>
                </c:pt>
                <c:pt idx="87">
                  <c:v>63.824004521615052</c:v>
                </c:pt>
                <c:pt idx="88">
                  <c:v>65.529070312160115</c:v>
                </c:pt>
                <c:pt idx="89">
                  <c:v>67.351936883434121</c:v>
                </c:pt>
                <c:pt idx="90">
                  <c:v>69.292863528794726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1A-404D-AD29-E2D177F42268}"/>
            </c:ext>
          </c:extLst>
        </c:ser>
        <c:ser>
          <c:idx val="16"/>
          <c:order val="16"/>
          <c:tx>
            <c:strRef>
              <c:f>'Challenge 11a'!$S$7</c:f>
              <c:strCache>
                <c:ptCount val="1"/>
                <c:pt idx="0">
                  <c:v>Sec Violet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'Challenge 11a'!$S$8:$S$98</c:f>
              <c:numCache>
                <c:formatCode>0.00</c:formatCode>
                <c:ptCount val="91"/>
                <c:pt idx="0">
                  <c:v>180</c:v>
                </c:pt>
                <c:pt idx="1">
                  <c:v>177.51914467930465</c:v>
                </c:pt>
                <c:pt idx="2">
                  <c:v>175.03889320589948</c:v>
                </c:pt>
                <c:pt idx="3">
                  <c:v>172.5598501666376</c:v>
                </c:pt>
                <c:pt idx="4">
                  <c:v>170.08262162866205</c:v>
                </c:pt>
                <c:pt idx="5">
                  <c:v>167.60781588246033</c:v>
                </c:pt>
                <c:pt idx="6">
                  <c:v>165.13604418840615</c:v>
                </c:pt>
                <c:pt idx="7">
                  <c:v>162.66792152794395</c:v>
                </c:pt>
                <c:pt idx="8">
                  <c:v>160.2040673605658</c:v>
                </c:pt>
                <c:pt idx="9">
                  <c:v>157.74510638772165</c:v>
                </c:pt>
                <c:pt idx="10">
                  <c:v>155.2916693247937</c:v>
                </c:pt>
                <c:pt idx="11">
                  <c:v>152.84439368225247</c:v>
                </c:pt>
                <c:pt idx="12">
                  <c:v>150.40392455709571</c:v>
                </c:pt>
                <c:pt idx="13">
                  <c:v>147.97091543565256</c:v>
                </c:pt>
                <c:pt idx="14">
                  <c:v>145.54602900880934</c:v>
                </c:pt>
                <c:pt idx="15">
                  <c:v>143.12993800068705</c:v>
                </c:pt>
                <c:pt idx="16">
                  <c:v>140.72332601176453</c:v>
                </c:pt>
                <c:pt idx="17">
                  <c:v>138.32688837740093</c:v>
                </c:pt>
                <c:pt idx="18">
                  <c:v>135.9413330426633</c:v>
                </c:pt>
                <c:pt idx="19">
                  <c:v>133.56738145430666</c:v>
                </c:pt>
                <c:pt idx="20">
                  <c:v>131.20576947069026</c:v>
                </c:pt>
                <c:pt idx="21">
                  <c:v>128.85724829033236</c:v>
                </c:pt>
                <c:pt idx="22">
                  <c:v>126.52258539971838</c:v>
                </c:pt>
                <c:pt idx="23">
                  <c:v>124.20256554087112</c:v>
                </c:pt>
                <c:pt idx="24">
                  <c:v>121.89799169907185</c:v>
                </c:pt>
                <c:pt idx="25">
                  <c:v>119.60968611098107</c:v>
                </c:pt>
                <c:pt idx="26">
                  <c:v>117.33849129325043</c:v>
                </c:pt>
                <c:pt idx="27">
                  <c:v>115.08527109153282</c:v>
                </c:pt>
                <c:pt idx="28">
                  <c:v>112.8509117495942</c:v>
                </c:pt>
                <c:pt idx="29">
                  <c:v>110.63632299799147</c:v>
                </c:pt>
                <c:pt idx="30">
                  <c:v>108.44243916151834</c:v>
                </c:pt>
                <c:pt idx="31">
                  <c:v>106.2702202843187</c:v>
                </c:pt>
                <c:pt idx="32">
                  <c:v>104.12065327122991</c:v>
                </c:pt>
                <c:pt idx="33">
                  <c:v>101.99475304353953</c:v>
                </c:pt>
                <c:pt idx="34">
                  <c:v>99.893563706915785</c:v>
                </c:pt>
                <c:pt idx="35">
                  <c:v>97.818159728798719</c:v>
                </c:pt>
                <c:pt idx="36">
                  <c:v>95.769647122015613</c:v>
                </c:pt>
                <c:pt idx="37">
                  <c:v>93.749164630802397</c:v>
                </c:pt>
                <c:pt idx="38">
                  <c:v>91.757884914771722</c:v>
                </c:pt>
                <c:pt idx="39">
                  <c:v>89.79701572566222</c:v>
                </c:pt>
                <c:pt idx="40">
                  <c:v>87.86780107093341</c:v>
                </c:pt>
                <c:pt idx="41">
                  <c:v>85.971522357423595</c:v>
                </c:pt>
                <c:pt idx="42">
                  <c:v>84.109499507376398</c:v>
                </c:pt>
                <c:pt idx="43">
                  <c:v>82.283092038148197</c:v>
                </c:pt>
                <c:pt idx="44">
                  <c:v>80.493700095844588</c:v>
                </c:pt>
                <c:pt idx="45">
                  <c:v>78.742765431993973</c:v>
                </c:pt>
                <c:pt idx="46">
                  <c:v>77.031772311152253</c:v>
                </c:pt>
                <c:pt idx="47">
                  <c:v>75.362248336055217</c:v>
                </c:pt>
                <c:pt idx="48">
                  <c:v>73.735765175589279</c:v>
                </c:pt>
                <c:pt idx="49">
                  <c:v>72.153939179459911</c:v>
                </c:pt>
                <c:pt idx="50">
                  <c:v>70.618431862002211</c:v>
                </c:pt>
                <c:pt idx="51">
                  <c:v>69.130950236118167</c:v>
                </c:pt>
                <c:pt idx="52">
                  <c:v>67.693246976870114</c:v>
                </c:pt>
                <c:pt idx="53">
                  <c:v>66.307120392816046</c:v>
                </c:pt>
                <c:pt idx="54">
                  <c:v>64.974414181792753</c:v>
                </c:pt>
                <c:pt idx="55">
                  <c:v>63.697016946554811</c:v>
                </c:pt>
                <c:pt idx="56">
                  <c:v>62.476861444515521</c:v>
                </c:pt>
                <c:pt idx="57">
                  <c:v>61.31592354485187</c:v>
                </c:pt>
                <c:pt idx="58">
                  <c:v>60.216220865488594</c:v>
                </c:pt>
                <c:pt idx="59">
                  <c:v>59.179811062026943</c:v>
                </c:pt>
                <c:pt idx="60">
                  <c:v>58.208789740593119</c:v>
                </c:pt>
                <c:pt idx="61">
                  <c:v>57.305287966933378</c:v>
                </c:pt>
                <c:pt idx="62">
                  <c:v>56.471469344939493</c:v>
                </c:pt>
                <c:pt idx="63">
                  <c:v>55.709526639237509</c:v>
                </c:pt>
                <c:pt idx="64">
                  <c:v>55.021677918585311</c:v>
                </c:pt>
                <c:pt idx="65">
                  <c:v>54.410162199682503</c:v>
                </c:pt>
                <c:pt idx="66">
                  <c:v>53.877234574653642</c:v>
                </c:pt>
                <c:pt idx="67">
                  <c:v>53.425160810000307</c:v>
                </c:pt>
                <c:pt idx="68">
                  <c:v>53.056211410250057</c:v>
                </c:pt>
                <c:pt idx="69">
                  <c:v>52.772655145903286</c:v>
                </c:pt>
                <c:pt idx="70">
                  <c:v>52.576752052571919</c:v>
                </c:pt>
                <c:pt idx="71">
                  <c:v>52.470745916403132</c:v>
                </c:pt>
                <c:pt idx="72">
                  <c:v>52.456856269901039</c:v>
                </c:pt>
                <c:pt idx="73">
                  <c:v>52.537269932011156</c:v>
                </c:pt>
                <c:pt idx="74">
                  <c:v>52.714132136648516</c:v>
                </c:pt>
                <c:pt idx="75">
                  <c:v>52.989537304560429</c:v>
                </c:pt>
                <c:pt idx="76">
                  <c:v>53.365519524257309</c:v>
                </c:pt>
                <c:pt idx="77">
                  <c:v>53.844042818465255</c:v>
                </c:pt>
                <c:pt idx="78">
                  <c:v>54.426991282823451</c:v>
                </c:pt>
                <c:pt idx="79">
                  <c:v>55.116159193031422</c:v>
                </c:pt>
                <c:pt idx="80">
                  <c:v>55.91324118499</c:v>
                </c:pt>
                <c:pt idx="81">
                  <c:v>56.819822619309434</c:v>
                </c:pt>
                <c:pt idx="82">
                  <c:v>57.837370246534988</c:v>
                </c:pt>
                <c:pt idx="83">
                  <c:v>58.967223292237748</c:v>
                </c:pt>
                <c:pt idx="84">
                  <c:v>60.210585081480531</c:v>
                </c:pt>
                <c:pt idx="85">
                  <c:v>61.568515319873427</c:v>
                </c:pt>
                <c:pt idx="86">
                  <c:v>63.041923143373822</c:v>
                </c:pt>
                <c:pt idx="87">
                  <c:v>64.631561041125281</c:v>
                </c:pt>
                <c:pt idx="88">
                  <c:v>66.338019745052748</c:v>
                </c:pt>
                <c:pt idx="89">
                  <c:v>68.161724166808369</c:v>
                </c:pt>
                <c:pt idx="90">
                  <c:v>70.102930447300935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1A-404D-AD29-E2D177F4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871248"/>
        <c:axId val="1850871728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'Challenge 11a'!$J$7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'Challenge 11a'!$J$8:$J$98</c15:sqref>
                        </c15:formulaRef>
                      </c:ext>
                    </c:extLst>
                    <c:numCache>
                      <c:formatCode>General</c:formatCode>
                      <c:ptCount val="9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C11A-404D-AD29-E2D177F4226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'Challenge 11a'!$K$7</c15:sqref>
                        </c15:formulaRef>
                      </c:ext>
                    </c:extLst>
                    <c:strCache>
                      <c:ptCount val="1"/>
                      <c:pt idx="0">
                        <c:v>Theta (Deg)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'Challenge 11a'!$K$8:$K$98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11A-404D-AD29-E2D177F4226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'Challenge 11a'!$L$7</c15:sqref>
                        </c15:formulaRef>
                      </c:ext>
                    </c:extLst>
                    <c:strCache>
                      <c:ptCount val="1"/>
                      <c:pt idx="0">
                        <c:v>Theta (Rad)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'Challenge 11a'!$L$8:$L$98</c15:sqref>
                        </c15:formulaRef>
                      </c:ext>
                    </c:extLst>
                    <c:numCache>
                      <c:formatCode>0.00</c:formatCode>
                      <c:ptCount val="91"/>
                      <c:pt idx="0">
                        <c:v>0</c:v>
                      </c:pt>
                      <c:pt idx="1">
                        <c:v>1.7453292519943295E-2</c:v>
                      </c:pt>
                      <c:pt idx="2">
                        <c:v>3.4906585039886591E-2</c:v>
                      </c:pt>
                      <c:pt idx="3">
                        <c:v>5.2359877559829883E-2</c:v>
                      </c:pt>
                      <c:pt idx="4">
                        <c:v>6.9813170079773182E-2</c:v>
                      </c:pt>
                      <c:pt idx="5">
                        <c:v>8.7266462599716474E-2</c:v>
                      </c:pt>
                      <c:pt idx="6">
                        <c:v>0.10471975511965977</c:v>
                      </c:pt>
                      <c:pt idx="7">
                        <c:v>0.12217304763960307</c:v>
                      </c:pt>
                      <c:pt idx="8">
                        <c:v>0.13962634015954636</c:v>
                      </c:pt>
                      <c:pt idx="9">
                        <c:v>0.15707963267948966</c:v>
                      </c:pt>
                      <c:pt idx="10">
                        <c:v>0.17453292519943295</c:v>
                      </c:pt>
                      <c:pt idx="11">
                        <c:v>0.19198621771937624</c:v>
                      </c:pt>
                      <c:pt idx="12">
                        <c:v>0.20943951023931953</c:v>
                      </c:pt>
                      <c:pt idx="13">
                        <c:v>0.22689280275926285</c:v>
                      </c:pt>
                      <c:pt idx="14">
                        <c:v>0.24434609527920614</c:v>
                      </c:pt>
                      <c:pt idx="15">
                        <c:v>0.26179938779914941</c:v>
                      </c:pt>
                      <c:pt idx="16">
                        <c:v>0.27925268031909273</c:v>
                      </c:pt>
                      <c:pt idx="17">
                        <c:v>0.29670597283903605</c:v>
                      </c:pt>
                      <c:pt idx="18">
                        <c:v>0.31415926535897931</c:v>
                      </c:pt>
                      <c:pt idx="19">
                        <c:v>0.33161255787892258</c:v>
                      </c:pt>
                      <c:pt idx="20">
                        <c:v>0.3490658503988659</c:v>
                      </c:pt>
                      <c:pt idx="21">
                        <c:v>0.36651914291880922</c:v>
                      </c:pt>
                      <c:pt idx="22">
                        <c:v>0.38397243543875248</c:v>
                      </c:pt>
                      <c:pt idx="23">
                        <c:v>0.40142572795869574</c:v>
                      </c:pt>
                      <c:pt idx="24">
                        <c:v>0.41887902047863906</c:v>
                      </c:pt>
                      <c:pt idx="25">
                        <c:v>0.43633231299858238</c:v>
                      </c:pt>
                      <c:pt idx="26">
                        <c:v>0.4537856055185257</c:v>
                      </c:pt>
                      <c:pt idx="27">
                        <c:v>0.47123889803846897</c:v>
                      </c:pt>
                      <c:pt idx="28">
                        <c:v>0.48869219055841229</c:v>
                      </c:pt>
                      <c:pt idx="29">
                        <c:v>0.50614548307835561</c:v>
                      </c:pt>
                      <c:pt idx="30">
                        <c:v>0.52359877559829882</c:v>
                      </c:pt>
                      <c:pt idx="31">
                        <c:v>0.54105206811824214</c:v>
                      </c:pt>
                      <c:pt idx="32">
                        <c:v>0.55850536063818546</c:v>
                      </c:pt>
                      <c:pt idx="33">
                        <c:v>0.57595865315812877</c:v>
                      </c:pt>
                      <c:pt idx="34">
                        <c:v>0.59341194567807209</c:v>
                      </c:pt>
                      <c:pt idx="35">
                        <c:v>0.6108652381980153</c:v>
                      </c:pt>
                      <c:pt idx="36">
                        <c:v>0.62831853071795862</c:v>
                      </c:pt>
                      <c:pt idx="37">
                        <c:v>0.64577182323790194</c:v>
                      </c:pt>
                      <c:pt idx="38">
                        <c:v>0.66322511575784515</c:v>
                      </c:pt>
                      <c:pt idx="39">
                        <c:v>0.68067840827778847</c:v>
                      </c:pt>
                      <c:pt idx="40">
                        <c:v>0.69813170079773179</c:v>
                      </c:pt>
                      <c:pt idx="41">
                        <c:v>0.715584993317675</c:v>
                      </c:pt>
                      <c:pt idx="42">
                        <c:v>0.73303828583761843</c:v>
                      </c:pt>
                      <c:pt idx="43">
                        <c:v>0.75049157835756164</c:v>
                      </c:pt>
                      <c:pt idx="44">
                        <c:v>0.76794487087750496</c:v>
                      </c:pt>
                      <c:pt idx="45">
                        <c:v>0.78539816339744828</c:v>
                      </c:pt>
                      <c:pt idx="46">
                        <c:v>0.80285145591739149</c:v>
                      </c:pt>
                      <c:pt idx="47">
                        <c:v>0.82030474843733492</c:v>
                      </c:pt>
                      <c:pt idx="48">
                        <c:v>0.83775804095727813</c:v>
                      </c:pt>
                      <c:pt idx="49">
                        <c:v>0.85521133347722145</c:v>
                      </c:pt>
                      <c:pt idx="50">
                        <c:v>0.87266462599716477</c:v>
                      </c:pt>
                      <c:pt idx="51">
                        <c:v>0.89011791851710798</c:v>
                      </c:pt>
                      <c:pt idx="52">
                        <c:v>0.90757121103705141</c:v>
                      </c:pt>
                      <c:pt idx="53">
                        <c:v>0.92502450355699462</c:v>
                      </c:pt>
                      <c:pt idx="54">
                        <c:v>0.94247779607693793</c:v>
                      </c:pt>
                      <c:pt idx="55">
                        <c:v>0.95993108859688125</c:v>
                      </c:pt>
                      <c:pt idx="56">
                        <c:v>0.97738438111682457</c:v>
                      </c:pt>
                      <c:pt idx="57">
                        <c:v>0.99483767363676778</c:v>
                      </c:pt>
                      <c:pt idx="58">
                        <c:v>1.0122909661567112</c:v>
                      </c:pt>
                      <c:pt idx="59">
                        <c:v>1.0297442586766543</c:v>
                      </c:pt>
                      <c:pt idx="60">
                        <c:v>1.0471975511965976</c:v>
                      </c:pt>
                      <c:pt idx="61">
                        <c:v>1.064650843716541</c:v>
                      </c:pt>
                      <c:pt idx="62">
                        <c:v>1.0821041362364843</c:v>
                      </c:pt>
                      <c:pt idx="63">
                        <c:v>1.0995574287564276</c:v>
                      </c:pt>
                      <c:pt idx="64">
                        <c:v>1.1170107212763709</c:v>
                      </c:pt>
                      <c:pt idx="65">
                        <c:v>1.1344640137963142</c:v>
                      </c:pt>
                      <c:pt idx="66">
                        <c:v>1.1519173063162575</c:v>
                      </c:pt>
                      <c:pt idx="67">
                        <c:v>1.1693705988362006</c:v>
                      </c:pt>
                      <c:pt idx="68">
                        <c:v>1.1868238913561442</c:v>
                      </c:pt>
                      <c:pt idx="69">
                        <c:v>1.2042771838760873</c:v>
                      </c:pt>
                      <c:pt idx="70">
                        <c:v>1.2217304763960306</c:v>
                      </c:pt>
                      <c:pt idx="71">
                        <c:v>1.2391837689159739</c:v>
                      </c:pt>
                      <c:pt idx="72">
                        <c:v>1.2566370614359172</c:v>
                      </c:pt>
                      <c:pt idx="73">
                        <c:v>1.2740903539558606</c:v>
                      </c:pt>
                      <c:pt idx="74">
                        <c:v>1.2915436464758039</c:v>
                      </c:pt>
                      <c:pt idx="75">
                        <c:v>1.3089969389957472</c:v>
                      </c:pt>
                      <c:pt idx="76">
                        <c:v>1.3264502315156903</c:v>
                      </c:pt>
                      <c:pt idx="77">
                        <c:v>1.3439035240356338</c:v>
                      </c:pt>
                      <c:pt idx="78">
                        <c:v>1.3613568165555769</c:v>
                      </c:pt>
                      <c:pt idx="79">
                        <c:v>1.3788101090755203</c:v>
                      </c:pt>
                      <c:pt idx="80">
                        <c:v>1.3962634015954636</c:v>
                      </c:pt>
                      <c:pt idx="81">
                        <c:v>1.4137166941154069</c:v>
                      </c:pt>
                      <c:pt idx="82">
                        <c:v>1.43116998663535</c:v>
                      </c:pt>
                      <c:pt idx="83">
                        <c:v>1.4486232791552935</c:v>
                      </c:pt>
                      <c:pt idx="84">
                        <c:v>1.4660765716752369</c:v>
                      </c:pt>
                      <c:pt idx="85">
                        <c:v>1.4835298641951802</c:v>
                      </c:pt>
                      <c:pt idx="86">
                        <c:v>1.5009831567151233</c:v>
                      </c:pt>
                      <c:pt idx="87">
                        <c:v>1.5184364492350666</c:v>
                      </c:pt>
                      <c:pt idx="88">
                        <c:v>1.5358897417550099</c:v>
                      </c:pt>
                      <c:pt idx="89">
                        <c:v>1.5533430342749535</c:v>
                      </c:pt>
                      <c:pt idx="90">
                        <c:v>1.5707963267948966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11A-404D-AD29-E2D177F42268}"/>
                  </c:ext>
                </c:extLst>
              </c15:ser>
            </c15:filteredLineSeries>
          </c:ext>
        </c:extLst>
      </c:lineChart>
      <c:catAx>
        <c:axId val="185087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71728"/>
        <c:crosses val="autoZero"/>
        <c:auto val="0"/>
        <c:lblAlgn val="ctr"/>
        <c:lblOffset val="100"/>
        <c:noMultiLvlLbl val="0"/>
      </c:catAx>
      <c:valAx>
        <c:axId val="1850871728"/>
        <c:scaling>
          <c:orientation val="minMax"/>
          <c:max val="1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7124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806572455731815"/>
          <c:y val="9.7036038692392218E-2"/>
          <c:w val="0.19080747528519221"/>
          <c:h val="0.76259300107501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Elevation</a:t>
            </a:r>
            <a:r>
              <a:rPr lang="en-GB" b="1" baseline="0"/>
              <a:t> of Single and Double Rainbows</a:t>
            </a:r>
            <a:endParaRPr lang="en-GB" b="1"/>
          </a:p>
        </c:rich>
      </c:tx>
      <c:layout>
        <c:manualLayout>
          <c:xMode val="edge"/>
          <c:yMode val="edge"/>
          <c:x val="0.27494867552635871"/>
          <c:y val="2.119700782814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17491992501991"/>
          <c:y val="0.13456567136236955"/>
          <c:w val="0.78838008739004473"/>
          <c:h val="0.65613640858706923"/>
        </c:manualLayout>
      </c:layout>
      <c:lineChart>
        <c:grouping val="standard"/>
        <c:varyColors val="0"/>
        <c:ser>
          <c:idx val="1"/>
          <c:order val="0"/>
          <c:tx>
            <c:v>Prim red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11b'!$AD$3:$AD$17</c:f>
              <c:numCache>
                <c:formatCode>General</c:formatCode>
                <c:ptCount val="15"/>
                <c:pt idx="0">
                  <c:v>42.475400444162688</c:v>
                </c:pt>
                <c:pt idx="1">
                  <c:v>42.462034020079344</c:v>
                </c:pt>
                <c:pt idx="2">
                  <c:v>42.44849546805716</c:v>
                </c:pt>
                <c:pt idx="3">
                  <c:v>42.434784481250404</c:v>
                </c:pt>
                <c:pt idx="4">
                  <c:v>42.420900748489913</c:v>
                </c:pt>
                <c:pt idx="5">
                  <c:v>42.406843954260495</c:v>
                </c:pt>
                <c:pt idx="6">
                  <c:v>42.392613778676647</c:v>
                </c:pt>
                <c:pt idx="7">
                  <c:v>42.378209897458689</c:v>
                </c:pt>
                <c:pt idx="8">
                  <c:v>42.363631981908171</c:v>
                </c:pt>
                <c:pt idx="9">
                  <c:v>42.348879698883238</c:v>
                </c:pt>
                <c:pt idx="10">
                  <c:v>42.33395271077309</c:v>
                </c:pt>
                <c:pt idx="11">
                  <c:v>42.318850675472646</c:v>
                </c:pt>
                <c:pt idx="12">
                  <c:v>42.303573246355995</c:v>
                </c:pt>
                <c:pt idx="13">
                  <c:v>42.288120072250607</c:v>
                </c:pt>
                <c:pt idx="14">
                  <c:v>42.272490797409901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64-431A-BD87-15122B0BF76B}"/>
            </c:ext>
          </c:extLst>
        </c:ser>
        <c:ser>
          <c:idx val="0"/>
          <c:order val="1"/>
          <c:tx>
            <c:v>Prim orange</c:v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11b'!$AE$3:$AE$23</c:f>
              <c:numCache>
                <c:formatCode>General</c:formatCode>
                <c:ptCount val="21"/>
                <c:pt idx="15" formatCode="0.0000">
                  <c:v>42.256685061486351</c:v>
                </c:pt>
                <c:pt idx="16" formatCode="0.0000">
                  <c:v>42.24070249950347</c:v>
                </c:pt>
                <c:pt idx="17" formatCode="0.0000">
                  <c:v>42.22454274182796</c:v>
                </c:pt>
                <c:pt idx="18" formatCode="0.0000">
                  <c:v>42.208205414141133</c:v>
                </c:pt>
                <c:pt idx="19" formatCode="0.0000">
                  <c:v>42.191690137409893</c:v>
                </c:pt>
                <c:pt idx="20" formatCode="0.0000">
                  <c:v>42.174996527857118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64-431A-BD87-15122B0BF76B}"/>
            </c:ext>
          </c:extLst>
        </c:ser>
        <c:ser>
          <c:idx val="2"/>
          <c:order val="2"/>
          <c:tx>
            <c:v>Prim yellow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11b'!$AF$3:$AF$27</c:f>
              <c:numCache>
                <c:formatCode>General</c:formatCode>
                <c:ptCount val="25"/>
                <c:pt idx="21" formatCode="0.0000">
                  <c:v>42.158124196932263</c:v>
                </c:pt>
                <c:pt idx="22" formatCode="0.0000">
                  <c:v>42.14107275128076</c:v>
                </c:pt>
                <c:pt idx="23" formatCode="0.0000">
                  <c:v>42.123841792713321</c:v>
                </c:pt>
                <c:pt idx="24" formatCode="0.0000">
                  <c:v>42.106430918174723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64-431A-BD87-15122B0BF76B}"/>
            </c:ext>
          </c:extLst>
        </c:ser>
        <c:ser>
          <c:idx val="3"/>
          <c:order val="3"/>
          <c:tx>
            <c:v>Prim green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11b'!$AG$3:$AG$41</c:f>
              <c:numCache>
                <c:formatCode>General</c:formatCode>
                <c:ptCount val="39"/>
                <c:pt idx="25" formatCode="0.0000">
                  <c:v>42.088839719712283</c:v>
                </c:pt>
                <c:pt idx="26" formatCode="0.0000">
                  <c:v>42.071067784443571</c:v>
                </c:pt>
                <c:pt idx="27" formatCode="0.0000">
                  <c:v>42.053114694523941</c:v>
                </c:pt>
                <c:pt idx="28" formatCode="0.0000">
                  <c:v>42.034980027113221</c:v>
                </c:pt>
                <c:pt idx="29" formatCode="0.0000">
                  <c:v>42.016663354342569</c:v>
                </c:pt>
                <c:pt idx="30" formatCode="0.0000">
                  <c:v>41.998164243279874</c:v>
                </c:pt>
                <c:pt idx="31" formatCode="0.0000">
                  <c:v>41.979482255895789</c:v>
                </c:pt>
                <c:pt idx="32" formatCode="0.0000">
                  <c:v>41.960616949028136</c:v>
                </c:pt>
                <c:pt idx="33" formatCode="0.0000">
                  <c:v>41.941567874346831</c:v>
                </c:pt>
                <c:pt idx="34" formatCode="0.0000">
                  <c:v>41.922334578317404</c:v>
                </c:pt>
                <c:pt idx="35" formatCode="0.0000">
                  <c:v>41.90291660216478</c:v>
                </c:pt>
                <c:pt idx="36" formatCode="0.0000">
                  <c:v>41.883313481835813</c:v>
                </c:pt>
                <c:pt idx="37" formatCode="0.0000">
                  <c:v>41.863524747961947</c:v>
                </c:pt>
                <c:pt idx="38" formatCode="0.0000">
                  <c:v>41.843549925820739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64-431A-BD87-15122B0BF76B}"/>
            </c:ext>
          </c:extLst>
        </c:ser>
        <c:ser>
          <c:idx val="4"/>
          <c:order val="4"/>
          <c:tx>
            <c:v>Prim Cyan</c:v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11b'!$AH$3:$AH$45</c:f>
              <c:numCache>
                <c:formatCode>General</c:formatCode>
                <c:ptCount val="43"/>
                <c:pt idx="39" formatCode="0.0000">
                  <c:v>41.82338853529734</c:v>
                </c:pt>
                <c:pt idx="40" formatCode="0.0000">
                  <c:v>41.80304009084513</c:v>
                </c:pt>
                <c:pt idx="41" formatCode="0.0000">
                  <c:v>41.782504101445824</c:v>
                </c:pt>
                <c:pt idx="42" formatCode="0.0000">
                  <c:v>41.761780070569188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64-431A-BD87-15122B0BF76B}"/>
            </c:ext>
          </c:extLst>
        </c:ser>
        <c:ser>
          <c:idx val="5"/>
          <c:order val="5"/>
          <c:tx>
            <c:v>Prim Blue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11b'!$AI$3:$AI$57</c:f>
              <c:numCache>
                <c:formatCode>General</c:formatCode>
                <c:ptCount val="55"/>
                <c:pt idx="43">
                  <c:v>41.740867496131784</c:v>
                </c:pt>
                <c:pt idx="44">
                  <c:v>41.719765870455618</c:v>
                </c:pt>
                <c:pt idx="45">
                  <c:v>41.698474680225956</c:v>
                </c:pt>
                <c:pt idx="46">
                  <c:v>41.676993406448503</c:v>
                </c:pt>
                <c:pt idx="47">
                  <c:v>41.655321524406034</c:v>
                </c:pt>
                <c:pt idx="48">
                  <c:v>41.633458503614179</c:v>
                </c:pt>
                <c:pt idx="49">
                  <c:v>41.611403807777407</c:v>
                </c:pt>
                <c:pt idx="50">
                  <c:v>41.589156894743098</c:v>
                </c:pt>
                <c:pt idx="51">
                  <c:v>41.566717216456297</c:v>
                </c:pt>
                <c:pt idx="52">
                  <c:v>41.544084218912573</c:v>
                </c:pt>
                <c:pt idx="53">
                  <c:v>41.521257342111241</c:v>
                </c:pt>
                <c:pt idx="54">
                  <c:v>41.49823602000744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64-431A-BD87-15122B0BF76B}"/>
            </c:ext>
          </c:extLst>
        </c:ser>
        <c:ser>
          <c:idx val="6"/>
          <c:order val="6"/>
          <c:tx>
            <c:v>Prim Violet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11b'!$AJ$3:$AJ$80</c:f>
              <c:numCache>
                <c:formatCode>General</c:formatCode>
                <c:ptCount val="78"/>
                <c:pt idx="55" formatCode="0.0000">
                  <c:v>41.47501968046349</c:v>
                </c:pt>
                <c:pt idx="56" formatCode="0.0000">
                  <c:v>41.451607745199979</c:v>
                </c:pt>
                <c:pt idx="57" formatCode="0.0000">
                  <c:v>41.427999629745344</c:v>
                </c:pt>
                <c:pt idx="58" formatCode="0.0000">
                  <c:v>41.404194743385773</c:v>
                </c:pt>
                <c:pt idx="59" formatCode="0.0000">
                  <c:v>41.380192489113739</c:v>
                </c:pt>
                <c:pt idx="60" formatCode="0.0000">
                  <c:v>41.355992263575743</c:v>
                </c:pt>
                <c:pt idx="61" formatCode="0.0000">
                  <c:v>41.331593457019807</c:v>
                </c:pt>
                <c:pt idx="62" formatCode="0.0000">
                  <c:v>41.306995453241868</c:v>
                </c:pt>
                <c:pt idx="63" formatCode="0.0000">
                  <c:v>41.282197629531538</c:v>
                </c:pt>
                <c:pt idx="64" formatCode="0.0000">
                  <c:v>41.257199356616979</c:v>
                </c:pt>
                <c:pt idx="65" formatCode="0.0000">
                  <c:v>41.231999998609353</c:v>
                </c:pt>
                <c:pt idx="66" formatCode="0.0000">
                  <c:v>41.206598912945736</c:v>
                </c:pt>
                <c:pt idx="67" formatCode="0.0000">
                  <c:v>41.180995450332205</c:v>
                </c:pt>
                <c:pt idx="68" formatCode="0.0000">
                  <c:v>41.155188954685585</c:v>
                </c:pt>
                <c:pt idx="69" formatCode="0.0000">
                  <c:v>41.129178763074052</c:v>
                </c:pt>
                <c:pt idx="70" formatCode="0.0000">
                  <c:v>41.102964205657727</c:v>
                </c:pt>
                <c:pt idx="71" formatCode="0.0000">
                  <c:v>41.076544605627788</c:v>
                </c:pt>
                <c:pt idx="72" formatCode="0.0000">
                  <c:v>41.049919279144987</c:v>
                </c:pt>
                <c:pt idx="73" formatCode="0.0000">
                  <c:v>41.023087535276986</c:v>
                </c:pt>
                <c:pt idx="74" formatCode="0.0000">
                  <c:v>40.996048675935356</c:v>
                </c:pt>
                <c:pt idx="75" formatCode="0.0000">
                  <c:v>40.96880199581112</c:v>
                </c:pt>
                <c:pt idx="76" formatCode="0.0000">
                  <c:v>40.941346782310148</c:v>
                </c:pt>
                <c:pt idx="77" formatCode="0.0000">
                  <c:v>40.91368231548627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64-431A-BD87-15122B0BF76B}"/>
            </c:ext>
          </c:extLst>
        </c:ser>
        <c:ser>
          <c:idx val="7"/>
          <c:order val="7"/>
          <c:tx>
            <c:v>Sec red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11b'!$AL$3:$AL$17</c:f>
              <c:numCache>
                <c:formatCode>General</c:formatCode>
                <c:ptCount val="15"/>
                <c:pt idx="0">
                  <c:v>50.175030542860696</c:v>
                </c:pt>
                <c:pt idx="1">
                  <c:v>50.199097217677803</c:v>
                </c:pt>
                <c:pt idx="2">
                  <c:v>50.223474737200007</c:v>
                </c:pt>
                <c:pt idx="3">
                  <c:v>50.248163689897098</c:v>
                </c:pt>
                <c:pt idx="4">
                  <c:v>50.273164672599592</c:v>
                </c:pt>
                <c:pt idx="5">
                  <c:v>50.298478290546484</c:v>
                </c:pt>
                <c:pt idx="6">
                  <c:v>50.324105157433877</c:v>
                </c:pt>
                <c:pt idx="7">
                  <c:v>50.350045895463694</c:v>
                </c:pt>
                <c:pt idx="8">
                  <c:v>50.3763011353943</c:v>
                </c:pt>
                <c:pt idx="9">
                  <c:v>50.402871516591034</c:v>
                </c:pt>
                <c:pt idx="10">
                  <c:v>50.429757687077569</c:v>
                </c:pt>
                <c:pt idx="11">
                  <c:v>50.456960303588914</c:v>
                </c:pt>
                <c:pt idx="12">
                  <c:v>50.484480031624457</c:v>
                </c:pt>
                <c:pt idx="13">
                  <c:v>50.512317545501958</c:v>
                </c:pt>
                <c:pt idx="14">
                  <c:v>50.54047352841269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64-431A-BD87-15122B0BF76B}"/>
            </c:ext>
          </c:extLst>
        </c:ser>
        <c:ser>
          <c:idx val="8"/>
          <c:order val="8"/>
          <c:tx>
            <c:v>Sec orange</c:v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11b'!$AM$3:$AM$23</c:f>
              <c:numCache>
                <c:formatCode>General</c:formatCode>
                <c:ptCount val="21"/>
                <c:pt idx="15">
                  <c:v>50.568948672477347</c:v>
                </c:pt>
                <c:pt idx="16">
                  <c:v>50.59774367880226</c:v>
                </c:pt>
                <c:pt idx="17">
                  <c:v>50.626859257538001</c:v>
                </c:pt>
                <c:pt idx="18">
                  <c:v>50.656296127936486</c:v>
                </c:pt>
                <c:pt idx="19">
                  <c:v>50.686055018411281</c:v>
                </c:pt>
                <c:pt idx="20">
                  <c:v>50.716136666598118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64-431A-BD87-15122B0BF76B}"/>
            </c:ext>
          </c:extLst>
        </c:ser>
        <c:ser>
          <c:idx val="9"/>
          <c:order val="9"/>
          <c:tx>
            <c:v>Sec Yellow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11b'!$AN$3:$AN$27</c:f>
              <c:numCache>
                <c:formatCode>General</c:formatCode>
                <c:ptCount val="25"/>
                <c:pt idx="21">
                  <c:v>50.746541819415256</c:v>
                </c:pt>
                <c:pt idx="22">
                  <c:v>50.777271233126044</c:v>
                </c:pt>
                <c:pt idx="23">
                  <c:v>50.808325673402038</c:v>
                </c:pt>
                <c:pt idx="24">
                  <c:v>50.839705915386901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64-431A-BD87-15122B0BF76B}"/>
            </c:ext>
          </c:extLst>
        </c:ser>
        <c:ser>
          <c:idx val="10"/>
          <c:order val="10"/>
          <c:tx>
            <c:v>Sec Green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11b'!$AO$3:$AO$41</c:f>
              <c:numCache>
                <c:formatCode>General</c:formatCode>
                <c:ptCount val="39"/>
                <c:pt idx="25">
                  <c:v>50.871412743761624</c:v>
                </c:pt>
                <c:pt idx="26">
                  <c:v>50.903446952810299</c:v>
                </c:pt>
                <c:pt idx="27">
                  <c:v>50.93580934648719</c:v>
                </c:pt>
                <c:pt idx="28">
                  <c:v>50.968500738484636</c:v>
                </c:pt>
                <c:pt idx="29">
                  <c:v>51.001521952302141</c:v>
                </c:pt>
                <c:pt idx="30">
                  <c:v>51.034873821316296</c:v>
                </c:pt>
                <c:pt idx="31">
                  <c:v>51.068557188851969</c:v>
                </c:pt>
                <c:pt idx="32">
                  <c:v>51.102572908254388</c:v>
                </c:pt>
                <c:pt idx="33">
                  <c:v>51.136921842962153</c:v>
                </c:pt>
                <c:pt idx="34">
                  <c:v>51.171604866581703</c:v>
                </c:pt>
                <c:pt idx="35">
                  <c:v>51.206622862962888</c:v>
                </c:pt>
                <c:pt idx="36">
                  <c:v>51.241976726274743</c:v>
                </c:pt>
                <c:pt idx="37">
                  <c:v>51.277667361083672</c:v>
                </c:pt>
                <c:pt idx="38">
                  <c:v>51.313695682432467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64-431A-BD87-15122B0BF76B}"/>
            </c:ext>
          </c:extLst>
        </c:ser>
        <c:ser>
          <c:idx val="11"/>
          <c:order val="11"/>
          <c:tx>
            <c:v>Sec Cyan</c:v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11b'!$AP$3:$AP$45</c:f>
              <c:numCache>
                <c:formatCode>General</c:formatCode>
                <c:ptCount val="43"/>
                <c:pt idx="39">
                  <c:v>51.350062615919086</c:v>
                </c:pt>
                <c:pt idx="40">
                  <c:v>51.386769097779194</c:v>
                </c:pt>
                <c:pt idx="41">
                  <c:v>51.423816074967135</c:v>
                </c:pt>
                <c:pt idx="42">
                  <c:v>51.46120450524009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64-431A-BD87-15122B0BF76B}"/>
            </c:ext>
          </c:extLst>
        </c:ser>
        <c:ser>
          <c:idx val="12"/>
          <c:order val="12"/>
          <c:tx>
            <c:v>Sec Blue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11b'!$AQ$3:$AQ$57</c:f>
              <c:numCache>
                <c:formatCode>General</c:formatCode>
                <c:ptCount val="55"/>
                <c:pt idx="43">
                  <c:v>51.498935357242601</c:v>
                </c:pt>
                <c:pt idx="44">
                  <c:v>51.537009610592605</c:v>
                </c:pt>
                <c:pt idx="45">
                  <c:v>51.575428255968063</c:v>
                </c:pt>
                <c:pt idx="46">
                  <c:v>51.614192295196261</c:v>
                </c:pt>
                <c:pt idx="47">
                  <c:v>51.653302741342713</c:v>
                </c:pt>
                <c:pt idx="48">
                  <c:v>51.692760618802993</c:v>
                </c:pt>
                <c:pt idx="49">
                  <c:v>51.732566963394106</c:v>
                </c:pt>
                <c:pt idx="50">
                  <c:v>51.772722822449055</c:v>
                </c:pt>
                <c:pt idx="51">
                  <c:v>51.813229254911448</c:v>
                </c:pt>
                <c:pt idx="52">
                  <c:v>51.854087331432112</c:v>
                </c:pt>
                <c:pt idx="53">
                  <c:v>51.895298134466856</c:v>
                </c:pt>
                <c:pt idx="54">
                  <c:v>51.936862758375582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64-431A-BD87-15122B0BF76B}"/>
            </c:ext>
          </c:extLst>
        </c:ser>
        <c:ser>
          <c:idx val="13"/>
          <c:order val="13"/>
          <c:tx>
            <c:v>Sec Violet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11b'!$AR$3:$AR$80</c:f>
              <c:numCache>
                <c:formatCode>General</c:formatCode>
                <c:ptCount val="78"/>
                <c:pt idx="55" formatCode="0.0000">
                  <c:v>51.978782309523183</c:v>
                </c:pt>
                <c:pt idx="56" formatCode="0.0000">
                  <c:v>52.021057906381856</c:v>
                </c:pt>
                <c:pt idx="57" formatCode="0.0000">
                  <c:v>52.06369067963405</c:v>
                </c:pt>
                <c:pt idx="58" formatCode="0.0000">
                  <c:v>52.106681772278421</c:v>
                </c:pt>
                <c:pt idx="59" formatCode="0.0000">
                  <c:v>52.15003233973593</c:v>
                </c:pt>
                <c:pt idx="60" formatCode="0.0000">
                  <c:v>52.193743549958555</c:v>
                </c:pt>
                <c:pt idx="61" formatCode="0.0000">
                  <c:v>52.237816583538319</c:v>
                </c:pt>
                <c:pt idx="62" formatCode="0.0000">
                  <c:v>52.282252633819496</c:v>
                </c:pt>
                <c:pt idx="63" formatCode="0.0000">
                  <c:v>52.327052907010938</c:v>
                </c:pt>
                <c:pt idx="64" formatCode="0.0000">
                  <c:v>52.372218622301034</c:v>
                </c:pt>
                <c:pt idx="65" formatCode="0.0000">
                  <c:v>52.417751011974161</c:v>
                </c:pt>
                <c:pt idx="66" formatCode="0.0000">
                  <c:v>52.463651321528317</c:v>
                </c:pt>
                <c:pt idx="67" formatCode="0.0000">
                  <c:v>52.509920809794721</c:v>
                </c:pt>
                <c:pt idx="68" formatCode="0.0000">
                  <c:v>52.556560749059855</c:v>
                </c:pt>
                <c:pt idx="69" formatCode="0.0000">
                  <c:v>52.603572425188219</c:v>
                </c:pt>
                <c:pt idx="70" formatCode="0.0000">
                  <c:v>52.65095713774727</c:v>
                </c:pt>
                <c:pt idx="71" formatCode="0.0000">
                  <c:v>52.698716200134442</c:v>
                </c:pt>
                <c:pt idx="72" formatCode="0.0000">
                  <c:v>52.746850939705979</c:v>
                </c:pt>
                <c:pt idx="73" formatCode="0.0000">
                  <c:v>52.795362697907251</c:v>
                </c:pt>
                <c:pt idx="74" formatCode="0.0000">
                  <c:v>52.844252830405111</c:v>
                </c:pt>
                <c:pt idx="75" formatCode="0.0000">
                  <c:v>52.893522707222587</c:v>
                </c:pt>
                <c:pt idx="76" formatCode="0.0000">
                  <c:v>52.943173712874938</c:v>
                </c:pt>
                <c:pt idx="77" formatCode="0.0000">
                  <c:v>52.993207246508831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64-431A-BD87-15122B0BF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706656"/>
        <c:axId val="1887705216"/>
      </c:lineChart>
      <c:catAx>
        <c:axId val="18877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5216"/>
        <c:crosses val="autoZero"/>
        <c:auto val="1"/>
        <c:lblAlgn val="ctr"/>
        <c:lblOffset val="100"/>
        <c:noMultiLvlLbl val="0"/>
      </c:catAx>
      <c:valAx>
        <c:axId val="188770521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Refractive</a:t>
            </a:r>
            <a:r>
              <a:rPr lang="en-GB" b="1" baseline="0"/>
              <a:t> Index (n) of water vs frequency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8157524059492564"/>
          <c:y val="0.17171296296296296"/>
          <c:w val="0.78780796150481192"/>
          <c:h val="0.6347513248710103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11b'!$V$3:$V$80</c:f>
              <c:numCache>
                <c:formatCode>0.000</c:formatCode>
                <c:ptCount val="78"/>
                <c:pt idx="0">
                  <c:v>1.330279348645736</c:v>
                </c:pt>
                <c:pt idx="1">
                  <c:v>1.3303705127529164</c:v>
                </c:pt>
                <c:pt idx="2">
                  <c:v>1.330462876907792</c:v>
                </c:pt>
                <c:pt idx="3">
                  <c:v>1.3305564442172819</c:v>
                </c:pt>
                <c:pt idx="4">
                  <c:v>1.3306512178339036</c:v>
                </c:pt>
                <c:pt idx="5">
                  <c:v>1.3307472009560835</c:v>
                </c:pt>
                <c:pt idx="6">
                  <c:v>1.3308443968284747</c:v>
                </c:pt>
                <c:pt idx="7">
                  <c:v>1.3309428087422792</c:v>
                </c:pt>
                <c:pt idx="8">
                  <c:v>1.3310424400355754</c:v>
                </c:pt>
                <c:pt idx="9">
                  <c:v>1.3311432940936512</c:v>
                </c:pt>
                <c:pt idx="10">
                  <c:v>1.3312453743493429</c:v>
                </c:pt>
                <c:pt idx="11">
                  <c:v>1.3313486842833795</c:v>
                </c:pt>
                <c:pt idx="12">
                  <c:v>1.3314532274247328</c:v>
                </c:pt>
                <c:pt idx="13">
                  <c:v>1.3315590073509738</c:v>
                </c:pt>
                <c:pt idx="14">
                  <c:v>1.3316660276886332</c:v>
                </c:pt>
                <c:pt idx="15">
                  <c:v>1.3317742921135702</c:v>
                </c:pt>
                <c:pt idx="16">
                  <c:v>1.3318838043513459</c:v>
                </c:pt>
                <c:pt idx="17">
                  <c:v>1.3319945681776031</c:v>
                </c:pt>
                <c:pt idx="18">
                  <c:v>1.3321065874184512</c:v>
                </c:pt>
                <c:pt idx="19">
                  <c:v>1.3322198659508597</c:v>
                </c:pt>
                <c:pt idx="20">
                  <c:v>1.3323344077030566</c:v>
                </c:pt>
                <c:pt idx="21">
                  <c:v>1.3324502166549321</c:v>
                </c:pt>
                <c:pt idx="22">
                  <c:v>1.3325672968384512</c:v>
                </c:pt>
                <c:pt idx="23">
                  <c:v>1.332685652338071</c:v>
                </c:pt>
                <c:pt idx="24">
                  <c:v>1.3328052872911653</c:v>
                </c:pt>
                <c:pt idx="25">
                  <c:v>1.3329262058884568</c:v>
                </c:pt>
                <c:pt idx="26">
                  <c:v>1.3330484123744548</c:v>
                </c:pt>
                <c:pt idx="27">
                  <c:v>1.3331719110478999</c:v>
                </c:pt>
                <c:pt idx="28">
                  <c:v>1.3332967062622172</c:v>
                </c:pt>
                <c:pt idx="29">
                  <c:v>1.3334228024259756</c:v>
                </c:pt>
                <c:pt idx="30">
                  <c:v>1.333550204003354</c:v>
                </c:pt>
                <c:pt idx="31">
                  <c:v>1.3336789155146156</c:v>
                </c:pt>
                <c:pt idx="32">
                  <c:v>1.3338089415365895</c:v>
                </c:pt>
                <c:pt idx="33">
                  <c:v>1.3339402867031593</c:v>
                </c:pt>
                <c:pt idx="34">
                  <c:v>1.3340729557057611</c:v>
                </c:pt>
                <c:pt idx="35">
                  <c:v>1.3342069532938861</c:v>
                </c:pt>
                <c:pt idx="36">
                  <c:v>1.3343422842755945</c:v>
                </c:pt>
                <c:pt idx="37">
                  <c:v>1.3344789535180352</c:v>
                </c:pt>
                <c:pt idx="38">
                  <c:v>1.3346169659479752</c:v>
                </c:pt>
                <c:pt idx="39">
                  <c:v>1.334756326552335</c:v>
                </c:pt>
                <c:pt idx="40">
                  <c:v>1.3348970403787355</c:v>
                </c:pt>
                <c:pt idx="41">
                  <c:v>1.3350391125360501</c:v>
                </c:pt>
                <c:pt idx="42">
                  <c:v>1.3351825481949682</c:v>
                </c:pt>
                <c:pt idx="43">
                  <c:v>1.3353273525885656</c:v>
                </c:pt>
                <c:pt idx="44">
                  <c:v>1.3354735310128851</c:v>
                </c:pt>
                <c:pt idx="45">
                  <c:v>1.3356210888275242</c:v>
                </c:pt>
                <c:pt idx="46">
                  <c:v>1.3357700314562346</c:v>
                </c:pt>
                <c:pt idx="47">
                  <c:v>1.3359203643875295</c:v>
                </c:pt>
                <c:pt idx="48">
                  <c:v>1.3360720931752998</c:v>
                </c:pt>
                <c:pt idx="49">
                  <c:v>1.3362252234394405</c:v>
                </c:pt>
                <c:pt idx="50">
                  <c:v>1.3363797608664882</c:v>
                </c:pt>
                <c:pt idx="51">
                  <c:v>1.3365357112102656</c:v>
                </c:pt>
                <c:pt idx="52">
                  <c:v>1.3366930802925385</c:v>
                </c:pt>
                <c:pt idx="53">
                  <c:v>1.3368518740036828</c:v>
                </c:pt>
                <c:pt idx="54">
                  <c:v>1.3370120983033595</c:v>
                </c:pt>
                <c:pt idx="55">
                  <c:v>1.3371737592212039</c:v>
                </c:pt>
                <c:pt idx="56">
                  <c:v>1.3373368628575217</c:v>
                </c:pt>
                <c:pt idx="57">
                  <c:v>1.3375014153839995</c:v>
                </c:pt>
                <c:pt idx="58">
                  <c:v>1.3376674230444234</c:v>
                </c:pt>
                <c:pt idx="59">
                  <c:v>1.3378348921554106</c:v>
                </c:pt>
                <c:pt idx="60">
                  <c:v>1.3380038291071525</c:v>
                </c:pt>
                <c:pt idx="61">
                  <c:v>1.3381742403641677</c:v>
                </c:pt>
                <c:pt idx="62">
                  <c:v>1.3383461324660677</c:v>
                </c:pt>
                <c:pt idx="63">
                  <c:v>1.3385195120283366</c:v>
                </c:pt>
                <c:pt idx="64">
                  <c:v>1.3386943857431193</c:v>
                </c:pt>
                <c:pt idx="65">
                  <c:v>1.3388707603800236</c:v>
                </c:pt>
                <c:pt idx="66">
                  <c:v>1.3390486427869375</c:v>
                </c:pt>
                <c:pt idx="67">
                  <c:v>1.339228039890854</c:v>
                </c:pt>
                <c:pt idx="68">
                  <c:v>1.3394089586987137</c:v>
                </c:pt>
                <c:pt idx="69">
                  <c:v>1.3395914062982586</c:v>
                </c:pt>
                <c:pt idx="70">
                  <c:v>1.3397753898588982</c:v>
                </c:pt>
                <c:pt idx="71">
                  <c:v>1.3399609166325919</c:v>
                </c:pt>
                <c:pt idx="72">
                  <c:v>1.3401479939547434</c:v>
                </c:pt>
                <c:pt idx="73">
                  <c:v>1.3403366292451098</c:v>
                </c:pt>
                <c:pt idx="74">
                  <c:v>1.3405268300087247</c:v>
                </c:pt>
                <c:pt idx="75">
                  <c:v>1.3407186038368368</c:v>
                </c:pt>
                <c:pt idx="76">
                  <c:v>1.3409119584078621</c:v>
                </c:pt>
                <c:pt idx="77">
                  <c:v>1.3411069014883532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3-4DF5-8722-BAD3E77E1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682672"/>
        <c:axId val="1439690352"/>
      </c:lineChart>
      <c:catAx>
        <c:axId val="143968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90352"/>
        <c:crosses val="autoZero"/>
        <c:auto val="1"/>
        <c:lblAlgn val="ctr"/>
        <c:lblOffset val="100"/>
        <c:noMultiLvlLbl val="0"/>
      </c:catAx>
      <c:valAx>
        <c:axId val="1439690352"/>
        <c:scaling>
          <c:orientation val="minMax"/>
          <c:min val="1.328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82672"/>
        <c:crosses val="autoZero"/>
        <c:crossBetween val="between"/>
      </c:valAx>
      <c:spPr>
        <a:noFill/>
        <a:ln>
          <a:noFill/>
        </a:ln>
        <a:effectLst>
          <a:glow rad="63500">
            <a:schemeClr val="accent1">
              <a:alpha val="40000"/>
            </a:schemeClr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Elevation</a:t>
            </a:r>
            <a:r>
              <a:rPr lang="en-GB" b="1" baseline="0"/>
              <a:t> of Single and Double Rainbows</a:t>
            </a:r>
            <a:endParaRPr lang="en-GB" b="1"/>
          </a:p>
        </c:rich>
      </c:tx>
      <c:layout>
        <c:manualLayout>
          <c:xMode val="edge"/>
          <c:yMode val="edge"/>
          <c:x val="0.27494867552635871"/>
          <c:y val="2.119700782814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946414789224154"/>
          <c:y val="0.13456567136236955"/>
          <c:w val="0.67122114735371063"/>
          <c:h val="0.59254538510262045"/>
        </c:manualLayout>
      </c:layout>
      <c:lineChart>
        <c:grouping val="standard"/>
        <c:varyColors val="0"/>
        <c:ser>
          <c:idx val="7"/>
          <c:order val="0"/>
          <c:tx>
            <c:v>Secondary rainbow</c:v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11b'!$AA$3:$AA$80</c:f>
              <c:numCache>
                <c:formatCode>General</c:formatCode>
                <c:ptCount val="78"/>
                <c:pt idx="0">
                  <c:v>50.175030542860696</c:v>
                </c:pt>
                <c:pt idx="1">
                  <c:v>50.199097217677803</c:v>
                </c:pt>
                <c:pt idx="2">
                  <c:v>50.223474737200007</c:v>
                </c:pt>
                <c:pt idx="3">
                  <c:v>50.248163689897098</c:v>
                </c:pt>
                <c:pt idx="4">
                  <c:v>50.273164672599592</c:v>
                </c:pt>
                <c:pt idx="5">
                  <c:v>50.298478290546484</c:v>
                </c:pt>
                <c:pt idx="6">
                  <c:v>50.324105157433877</c:v>
                </c:pt>
                <c:pt idx="7">
                  <c:v>50.350045895463694</c:v>
                </c:pt>
                <c:pt idx="8">
                  <c:v>50.3763011353943</c:v>
                </c:pt>
                <c:pt idx="9">
                  <c:v>50.402871516591034</c:v>
                </c:pt>
                <c:pt idx="10">
                  <c:v>50.429757687077569</c:v>
                </c:pt>
                <c:pt idx="11">
                  <c:v>50.456960303588914</c:v>
                </c:pt>
                <c:pt idx="12">
                  <c:v>50.484480031624457</c:v>
                </c:pt>
                <c:pt idx="13">
                  <c:v>50.512317545501958</c:v>
                </c:pt>
                <c:pt idx="14">
                  <c:v>50.54047352841269</c:v>
                </c:pt>
                <c:pt idx="15">
                  <c:v>50.568948672477347</c:v>
                </c:pt>
                <c:pt idx="16">
                  <c:v>50.59774367880226</c:v>
                </c:pt>
                <c:pt idx="17">
                  <c:v>50.626859257538001</c:v>
                </c:pt>
                <c:pt idx="18">
                  <c:v>50.656296127936486</c:v>
                </c:pt>
                <c:pt idx="19">
                  <c:v>50.686055018411281</c:v>
                </c:pt>
                <c:pt idx="20">
                  <c:v>50.716136666598118</c:v>
                </c:pt>
                <c:pt idx="21">
                  <c:v>50.746541819415256</c:v>
                </c:pt>
                <c:pt idx="22">
                  <c:v>50.777271233126044</c:v>
                </c:pt>
                <c:pt idx="23">
                  <c:v>50.808325673402038</c:v>
                </c:pt>
                <c:pt idx="24">
                  <c:v>50.839705915386901</c:v>
                </c:pt>
                <c:pt idx="25">
                  <c:v>50.871412743761624</c:v>
                </c:pt>
                <c:pt idx="26">
                  <c:v>50.903446952810299</c:v>
                </c:pt>
                <c:pt idx="27">
                  <c:v>50.93580934648719</c:v>
                </c:pt>
                <c:pt idx="28">
                  <c:v>50.968500738484636</c:v>
                </c:pt>
                <c:pt idx="29">
                  <c:v>51.001521952302141</c:v>
                </c:pt>
                <c:pt idx="30">
                  <c:v>51.034873821316296</c:v>
                </c:pt>
                <c:pt idx="31">
                  <c:v>51.068557188851969</c:v>
                </c:pt>
                <c:pt idx="32">
                  <c:v>51.102572908254388</c:v>
                </c:pt>
                <c:pt idx="33">
                  <c:v>51.136921842962153</c:v>
                </c:pt>
                <c:pt idx="34">
                  <c:v>51.171604866581703</c:v>
                </c:pt>
                <c:pt idx="35">
                  <c:v>51.206622862962888</c:v>
                </c:pt>
                <c:pt idx="36">
                  <c:v>51.241976726274743</c:v>
                </c:pt>
                <c:pt idx="37">
                  <c:v>51.277667361083672</c:v>
                </c:pt>
                <c:pt idx="38">
                  <c:v>51.313695682432467</c:v>
                </c:pt>
                <c:pt idx="39">
                  <c:v>51.350062615919086</c:v>
                </c:pt>
                <c:pt idx="40">
                  <c:v>51.386769097779194</c:v>
                </c:pt>
                <c:pt idx="41">
                  <c:v>51.423816074967135</c:v>
                </c:pt>
                <c:pt idx="42">
                  <c:v>51.46120450524009</c:v>
                </c:pt>
                <c:pt idx="43">
                  <c:v>51.498935357242601</c:v>
                </c:pt>
                <c:pt idx="44">
                  <c:v>51.537009610592605</c:v>
                </c:pt>
                <c:pt idx="45">
                  <c:v>51.575428255968063</c:v>
                </c:pt>
                <c:pt idx="46">
                  <c:v>51.614192295196261</c:v>
                </c:pt>
                <c:pt idx="47">
                  <c:v>51.653302741342713</c:v>
                </c:pt>
                <c:pt idx="48">
                  <c:v>51.692760618802993</c:v>
                </c:pt>
                <c:pt idx="49">
                  <c:v>51.732566963394106</c:v>
                </c:pt>
                <c:pt idx="50">
                  <c:v>51.772722822449055</c:v>
                </c:pt>
                <c:pt idx="51">
                  <c:v>51.813229254911448</c:v>
                </c:pt>
                <c:pt idx="52">
                  <c:v>51.854087331432112</c:v>
                </c:pt>
                <c:pt idx="53">
                  <c:v>51.895298134466856</c:v>
                </c:pt>
                <c:pt idx="54">
                  <c:v>51.936862758375582</c:v>
                </c:pt>
                <c:pt idx="55">
                  <c:v>51.978782309523183</c:v>
                </c:pt>
                <c:pt idx="56">
                  <c:v>52.021057906381856</c:v>
                </c:pt>
                <c:pt idx="57">
                  <c:v>52.06369067963405</c:v>
                </c:pt>
                <c:pt idx="58">
                  <c:v>52.106681772278421</c:v>
                </c:pt>
                <c:pt idx="59">
                  <c:v>52.15003233973593</c:v>
                </c:pt>
                <c:pt idx="60">
                  <c:v>52.193743549958555</c:v>
                </c:pt>
                <c:pt idx="61">
                  <c:v>52.237816583538319</c:v>
                </c:pt>
                <c:pt idx="62">
                  <c:v>52.282252633819496</c:v>
                </c:pt>
                <c:pt idx="63">
                  <c:v>52.327052907010938</c:v>
                </c:pt>
                <c:pt idx="64">
                  <c:v>52.372218622301034</c:v>
                </c:pt>
                <c:pt idx="65">
                  <c:v>52.417751011974161</c:v>
                </c:pt>
                <c:pt idx="66">
                  <c:v>52.463651321528317</c:v>
                </c:pt>
                <c:pt idx="67">
                  <c:v>52.509920809794721</c:v>
                </c:pt>
                <c:pt idx="68">
                  <c:v>52.556560749059855</c:v>
                </c:pt>
                <c:pt idx="69">
                  <c:v>52.603572425188219</c:v>
                </c:pt>
                <c:pt idx="70">
                  <c:v>52.65095713774727</c:v>
                </c:pt>
                <c:pt idx="71">
                  <c:v>52.698716200134442</c:v>
                </c:pt>
                <c:pt idx="72">
                  <c:v>52.746850939705979</c:v>
                </c:pt>
                <c:pt idx="73">
                  <c:v>52.795362697907251</c:v>
                </c:pt>
                <c:pt idx="74">
                  <c:v>52.844252830405111</c:v>
                </c:pt>
                <c:pt idx="75">
                  <c:v>52.893522707222587</c:v>
                </c:pt>
                <c:pt idx="76">
                  <c:v>52.943173712874938</c:v>
                </c:pt>
                <c:pt idx="77">
                  <c:v>52.993207246508831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68-4E22-94E0-A1BC20B8C65B}"/>
            </c:ext>
          </c:extLst>
        </c:ser>
        <c:ser>
          <c:idx val="8"/>
          <c:order val="1"/>
          <c:tx>
            <c:v>Primary rainbow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11b'!$X$3:$X$80</c:f>
              <c:numCache>
                <c:formatCode>General</c:formatCode>
                <c:ptCount val="78"/>
                <c:pt idx="0">
                  <c:v>42.475400444162688</c:v>
                </c:pt>
                <c:pt idx="1">
                  <c:v>42.462034020079344</c:v>
                </c:pt>
                <c:pt idx="2">
                  <c:v>42.44849546805716</c:v>
                </c:pt>
                <c:pt idx="3">
                  <c:v>42.434784481250404</c:v>
                </c:pt>
                <c:pt idx="4">
                  <c:v>42.420900748489913</c:v>
                </c:pt>
                <c:pt idx="5">
                  <c:v>42.406843954260495</c:v>
                </c:pt>
                <c:pt idx="6">
                  <c:v>42.392613778676647</c:v>
                </c:pt>
                <c:pt idx="7">
                  <c:v>42.378209897458689</c:v>
                </c:pt>
                <c:pt idx="8">
                  <c:v>42.363631981908171</c:v>
                </c:pt>
                <c:pt idx="9">
                  <c:v>42.348879698883238</c:v>
                </c:pt>
                <c:pt idx="10">
                  <c:v>42.33395271077309</c:v>
                </c:pt>
                <c:pt idx="11">
                  <c:v>42.318850675472646</c:v>
                </c:pt>
                <c:pt idx="12">
                  <c:v>42.303573246355995</c:v>
                </c:pt>
                <c:pt idx="13">
                  <c:v>42.288120072250607</c:v>
                </c:pt>
                <c:pt idx="14">
                  <c:v>42.272490797409901</c:v>
                </c:pt>
                <c:pt idx="15">
                  <c:v>42.256685061486351</c:v>
                </c:pt>
                <c:pt idx="16">
                  <c:v>42.24070249950347</c:v>
                </c:pt>
                <c:pt idx="17">
                  <c:v>42.22454274182796</c:v>
                </c:pt>
                <c:pt idx="18">
                  <c:v>42.208205414141133</c:v>
                </c:pt>
                <c:pt idx="19">
                  <c:v>42.191690137409893</c:v>
                </c:pt>
                <c:pt idx="20">
                  <c:v>42.174996527857118</c:v>
                </c:pt>
                <c:pt idx="21">
                  <c:v>42.158124196932263</c:v>
                </c:pt>
                <c:pt idx="22">
                  <c:v>42.14107275128076</c:v>
                </c:pt>
                <c:pt idx="23">
                  <c:v>42.123841792713321</c:v>
                </c:pt>
                <c:pt idx="24">
                  <c:v>42.106430918174723</c:v>
                </c:pt>
                <c:pt idx="25">
                  <c:v>42.088839719712283</c:v>
                </c:pt>
                <c:pt idx="26">
                  <c:v>42.071067784443571</c:v>
                </c:pt>
                <c:pt idx="27">
                  <c:v>42.053114694523941</c:v>
                </c:pt>
                <c:pt idx="28">
                  <c:v>42.034980027113221</c:v>
                </c:pt>
                <c:pt idx="29">
                  <c:v>42.016663354342569</c:v>
                </c:pt>
                <c:pt idx="30">
                  <c:v>41.998164243279874</c:v>
                </c:pt>
                <c:pt idx="31">
                  <c:v>41.979482255895789</c:v>
                </c:pt>
                <c:pt idx="32">
                  <c:v>41.960616949028136</c:v>
                </c:pt>
                <c:pt idx="33">
                  <c:v>41.941567874346831</c:v>
                </c:pt>
                <c:pt idx="34">
                  <c:v>41.922334578317404</c:v>
                </c:pt>
                <c:pt idx="35">
                  <c:v>41.90291660216478</c:v>
                </c:pt>
                <c:pt idx="36">
                  <c:v>41.883313481835813</c:v>
                </c:pt>
                <c:pt idx="37">
                  <c:v>41.863524747961947</c:v>
                </c:pt>
                <c:pt idx="38">
                  <c:v>41.843549925820739</c:v>
                </c:pt>
                <c:pt idx="39">
                  <c:v>41.82338853529734</c:v>
                </c:pt>
                <c:pt idx="40">
                  <c:v>41.80304009084513</c:v>
                </c:pt>
                <c:pt idx="41">
                  <c:v>41.782504101445824</c:v>
                </c:pt>
                <c:pt idx="42">
                  <c:v>41.761780070569188</c:v>
                </c:pt>
                <c:pt idx="43">
                  <c:v>41.740867496131784</c:v>
                </c:pt>
                <c:pt idx="44">
                  <c:v>41.719765870455618</c:v>
                </c:pt>
                <c:pt idx="45">
                  <c:v>41.698474680225956</c:v>
                </c:pt>
                <c:pt idx="46">
                  <c:v>41.676993406448503</c:v>
                </c:pt>
                <c:pt idx="47">
                  <c:v>41.655321524406034</c:v>
                </c:pt>
                <c:pt idx="48">
                  <c:v>41.633458503614179</c:v>
                </c:pt>
                <c:pt idx="49">
                  <c:v>41.611403807777407</c:v>
                </c:pt>
                <c:pt idx="50">
                  <c:v>41.589156894743098</c:v>
                </c:pt>
                <c:pt idx="51">
                  <c:v>41.566717216456297</c:v>
                </c:pt>
                <c:pt idx="52">
                  <c:v>41.544084218912573</c:v>
                </c:pt>
                <c:pt idx="53">
                  <c:v>41.521257342111241</c:v>
                </c:pt>
                <c:pt idx="54">
                  <c:v>41.49823602000744</c:v>
                </c:pt>
                <c:pt idx="55">
                  <c:v>41.47501968046349</c:v>
                </c:pt>
                <c:pt idx="56">
                  <c:v>41.451607745199979</c:v>
                </c:pt>
                <c:pt idx="57">
                  <c:v>41.427999629745344</c:v>
                </c:pt>
                <c:pt idx="58">
                  <c:v>41.404194743385773</c:v>
                </c:pt>
                <c:pt idx="59">
                  <c:v>41.380192489113739</c:v>
                </c:pt>
                <c:pt idx="60">
                  <c:v>41.355992263575743</c:v>
                </c:pt>
                <c:pt idx="61">
                  <c:v>41.331593457019807</c:v>
                </c:pt>
                <c:pt idx="62">
                  <c:v>41.306995453241868</c:v>
                </c:pt>
                <c:pt idx="63">
                  <c:v>41.282197629531538</c:v>
                </c:pt>
                <c:pt idx="64">
                  <c:v>41.257199356616979</c:v>
                </c:pt>
                <c:pt idx="65">
                  <c:v>41.231999998609353</c:v>
                </c:pt>
                <c:pt idx="66">
                  <c:v>41.206598912945736</c:v>
                </c:pt>
                <c:pt idx="67">
                  <c:v>41.180995450332205</c:v>
                </c:pt>
                <c:pt idx="68">
                  <c:v>41.155188954685585</c:v>
                </c:pt>
                <c:pt idx="69">
                  <c:v>41.129178763074052</c:v>
                </c:pt>
                <c:pt idx="70">
                  <c:v>41.102964205657727</c:v>
                </c:pt>
                <c:pt idx="71">
                  <c:v>41.076544605627788</c:v>
                </c:pt>
                <c:pt idx="72">
                  <c:v>41.049919279144987</c:v>
                </c:pt>
                <c:pt idx="73">
                  <c:v>41.023087535276986</c:v>
                </c:pt>
                <c:pt idx="74">
                  <c:v>40.996048675935356</c:v>
                </c:pt>
                <c:pt idx="75">
                  <c:v>40.96880199581112</c:v>
                </c:pt>
                <c:pt idx="76">
                  <c:v>40.941346782310148</c:v>
                </c:pt>
                <c:pt idx="77">
                  <c:v>40.91368231548627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868-4E22-94E0-A1BC20B8C65B}"/>
            </c:ext>
          </c:extLst>
        </c:ser>
        <c:ser>
          <c:idx val="0"/>
          <c:order val="2"/>
          <c:tx>
            <c:v>Prim red</c:v>
          </c:tx>
          <c:spPr>
            <a:ln w="28575" cap="rnd">
              <a:solidFill>
                <a:srgbClr val="FF0000"/>
              </a:solidFill>
              <a:round/>
            </a:ln>
            <a:effectLst>
              <a:outerShdw blurRad="50800" dist="50800" dir="5400000" algn="ctr" rotWithShape="0">
                <a:srgbClr val="FF0000"/>
              </a:outerShdw>
            </a:effectLst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11b'!$AT$3:$AT$17</c:f>
              <c:numCache>
                <c:formatCode>General</c:formatCode>
                <c:ptCount val="15"/>
                <c:pt idx="6">
                  <c:v>42.392613778676647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68-4E22-94E0-A1BC20B8C65B}"/>
            </c:ext>
          </c:extLst>
        </c:ser>
        <c:ser>
          <c:idx val="1"/>
          <c:order val="3"/>
          <c:tx>
            <c:v>Prim Orange</c:v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11b'!$AU$3:$AU$23</c:f>
              <c:numCache>
                <c:formatCode>General</c:formatCode>
                <c:ptCount val="21"/>
                <c:pt idx="15" formatCode="0.0000">
                  <c:v>42.256685061486351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68-4E22-94E0-A1BC20B8C65B}"/>
            </c:ext>
          </c:extLst>
        </c:ser>
        <c:ser>
          <c:idx val="2"/>
          <c:order val="4"/>
          <c:tx>
            <c:v>Prim Yellow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11b'!$AV$3:$AV$27</c:f>
              <c:numCache>
                <c:formatCode>General</c:formatCode>
                <c:ptCount val="25"/>
                <c:pt idx="21">
                  <c:v>42.158124196932263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68-4E22-94E0-A1BC20B8C65B}"/>
            </c:ext>
          </c:extLst>
        </c:ser>
        <c:ser>
          <c:idx val="3"/>
          <c:order val="5"/>
          <c:tx>
            <c:v>Prim Green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11b'!$AW$3:$AW$41</c:f>
              <c:numCache>
                <c:formatCode>General</c:formatCode>
                <c:ptCount val="39"/>
                <c:pt idx="25">
                  <c:v>42.088839719712283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68-4E22-94E0-A1BC20B8C65B}"/>
            </c:ext>
          </c:extLst>
        </c:ser>
        <c:ser>
          <c:idx val="4"/>
          <c:order val="6"/>
          <c:tx>
            <c:v>Prim Cyan</c:v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8E8D8"/>
              </a:solidFill>
              <a:ln w="9525">
                <a:solidFill>
                  <a:srgbClr val="08E8D8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11b'!$AX$3:$AX$45</c:f>
              <c:numCache>
                <c:formatCode>General</c:formatCode>
                <c:ptCount val="43"/>
                <c:pt idx="39">
                  <c:v>41.82338853529734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868-4E22-94E0-A1BC20B8C65B}"/>
            </c:ext>
          </c:extLst>
        </c:ser>
        <c:ser>
          <c:idx val="5"/>
          <c:order val="7"/>
          <c:tx>
            <c:v>Prim Blue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11b'!$AY$3:$AY$57</c:f>
              <c:numCache>
                <c:formatCode>General</c:formatCode>
                <c:ptCount val="55"/>
                <c:pt idx="43">
                  <c:v>41.740867496131784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868-4E22-94E0-A1BC20B8C65B}"/>
            </c:ext>
          </c:extLst>
        </c:ser>
        <c:ser>
          <c:idx val="6"/>
          <c:order val="8"/>
          <c:tx>
            <c:v>Prim Violet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11b'!$AZ$3:$AZ$80</c:f>
              <c:numCache>
                <c:formatCode>General</c:formatCode>
                <c:ptCount val="78"/>
                <c:pt idx="55" formatCode="0.0000">
                  <c:v>41.47501968046349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868-4E22-94E0-A1BC20B8C65B}"/>
            </c:ext>
          </c:extLst>
        </c:ser>
        <c:ser>
          <c:idx val="9"/>
          <c:order val="9"/>
          <c:tx>
            <c:v>Sec Red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11b'!$BB$3:$BB$17</c:f>
              <c:numCache>
                <c:formatCode>General</c:formatCode>
                <c:ptCount val="15"/>
                <c:pt idx="6">
                  <c:v>50.324105157433877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868-4E22-94E0-A1BC20B8C65B}"/>
            </c:ext>
          </c:extLst>
        </c:ser>
        <c:ser>
          <c:idx val="10"/>
          <c:order val="10"/>
          <c:tx>
            <c:v>Sec Orange</c:v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11b'!$BC$3:$BC$23</c:f>
              <c:numCache>
                <c:formatCode>General</c:formatCode>
                <c:ptCount val="21"/>
                <c:pt idx="15">
                  <c:v>50.568948672477347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868-4E22-94E0-A1BC20B8C65B}"/>
            </c:ext>
          </c:extLst>
        </c:ser>
        <c:ser>
          <c:idx val="11"/>
          <c:order val="11"/>
          <c:tx>
            <c:v>Sec Yellow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11b'!$BD$3:$BD$27</c:f>
              <c:numCache>
                <c:formatCode>General</c:formatCode>
                <c:ptCount val="25"/>
                <c:pt idx="21">
                  <c:v>50.746541819415256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868-4E22-94E0-A1BC20B8C65B}"/>
            </c:ext>
          </c:extLst>
        </c:ser>
        <c:ser>
          <c:idx val="12"/>
          <c:order val="12"/>
          <c:tx>
            <c:v>Sec Green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11b'!$BE$3:$BE$41</c:f>
              <c:numCache>
                <c:formatCode>General</c:formatCode>
                <c:ptCount val="39"/>
                <c:pt idx="25">
                  <c:v>50.871412743761624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868-4E22-94E0-A1BC20B8C65B}"/>
            </c:ext>
          </c:extLst>
        </c:ser>
        <c:ser>
          <c:idx val="13"/>
          <c:order val="13"/>
          <c:tx>
            <c:v>Sec Cyan</c:v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8E8D8"/>
              </a:solidFill>
              <a:ln w="9525">
                <a:solidFill>
                  <a:srgbClr val="08E8D8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11b'!$BF$3:$BF$45</c:f>
              <c:numCache>
                <c:formatCode>General</c:formatCode>
                <c:ptCount val="43"/>
                <c:pt idx="39">
                  <c:v>51.350062615919086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868-4E22-94E0-A1BC20B8C65B}"/>
            </c:ext>
          </c:extLst>
        </c:ser>
        <c:ser>
          <c:idx val="14"/>
          <c:order val="14"/>
          <c:tx>
            <c:v>Sec Blue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11b'!$BG$3:$BG$57</c:f>
              <c:numCache>
                <c:formatCode>General</c:formatCode>
                <c:ptCount val="55"/>
                <c:pt idx="43">
                  <c:v>51.498935357242601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868-4E22-94E0-A1BC20B8C65B}"/>
            </c:ext>
          </c:extLst>
        </c:ser>
        <c:ser>
          <c:idx val="15"/>
          <c:order val="15"/>
          <c:tx>
            <c:v>Sec Violet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'Challenge 11b'!$U$3:$U$80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11b'!$BH$3:$BH$80</c:f>
              <c:numCache>
                <c:formatCode>General</c:formatCode>
                <c:ptCount val="78"/>
                <c:pt idx="55">
                  <c:v>51.978782309523183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868-4E22-94E0-A1BC20B8C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706656"/>
        <c:axId val="1887705216"/>
      </c:lineChart>
      <c:catAx>
        <c:axId val="18877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5216"/>
        <c:crosses val="autoZero"/>
        <c:auto val="1"/>
        <c:lblAlgn val="ctr"/>
        <c:lblOffset val="100"/>
        <c:noMultiLvlLbl val="0"/>
      </c:catAx>
      <c:valAx>
        <c:axId val="1887705216"/>
        <c:scaling>
          <c:orientation val="minMax"/>
          <c:max val="54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Refraction angle of single and double rainbows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3424059697455"/>
          <c:y val="0.18312839319742569"/>
          <c:w val="0.79248249706491602"/>
          <c:h val="0.67453483982310425"/>
        </c:manualLayout>
      </c:layout>
      <c:lineChart>
        <c:grouping val="standard"/>
        <c:varyColors val="0"/>
        <c:ser>
          <c:idx val="2"/>
          <c:order val="0"/>
          <c:tx>
            <c:v>Critical angle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11c'!$I$3:$I$80</c:f>
              <c:numCache>
                <c:formatCode>General</c:formatCode>
                <c:ptCount val="78"/>
                <c:pt idx="0">
                  <c:v>48.73974732558073</c:v>
                </c:pt>
                <c:pt idx="1">
                  <c:v>48.735272152154238</c:v>
                </c:pt>
                <c:pt idx="2">
                  <c:v>48.73073910093477</c:v>
                </c:pt>
                <c:pt idx="3">
                  <c:v>48.726148059516809</c:v>
                </c:pt>
                <c:pt idx="4">
                  <c:v>48.721498913892646</c:v>
                </c:pt>
                <c:pt idx="5">
                  <c:v>48.716791548443069</c:v>
                </c:pt>
                <c:pt idx="6">
                  <c:v>48.71202584592784</c:v>
                </c:pt>
                <c:pt idx="7">
                  <c:v>48.707201687476086</c:v>
                </c:pt>
                <c:pt idx="8">
                  <c:v>48.702318952576604</c:v>
                </c:pt>
                <c:pt idx="9">
                  <c:v>48.697377519067778</c:v>
                </c:pt>
                <c:pt idx="10">
                  <c:v>48.692377263127618</c:v>
                </c:pt>
                <c:pt idx="11">
                  <c:v>48.687318059263376</c:v>
                </c:pt>
                <c:pt idx="12">
                  <c:v>48.682199780301232</c:v>
                </c:pt>
                <c:pt idx="13">
                  <c:v>48.67702229737565</c:v>
                </c:pt>
                <c:pt idx="14">
                  <c:v>48.671785479918604</c:v>
                </c:pt>
                <c:pt idx="15">
                  <c:v>48.666489195648694</c:v>
                </c:pt>
                <c:pt idx="16">
                  <c:v>48.661133310560054</c:v>
                </c:pt>
                <c:pt idx="17">
                  <c:v>48.655717688910997</c:v>
                </c:pt>
                <c:pt idx="18">
                  <c:v>48.650242193212719</c:v>
                </c:pt>
                <c:pt idx="19">
                  <c:v>48.644706684217539</c:v>
                </c:pt>
                <c:pt idx="20">
                  <c:v>48.639111020907166</c:v>
                </c:pt>
                <c:pt idx="21">
                  <c:v>48.633455060480692</c:v>
                </c:pt>
                <c:pt idx="22">
                  <c:v>48.627738658342466</c:v>
                </c:pt>
                <c:pt idx="23">
                  <c:v>48.621961668089682</c:v>
                </c:pt>
                <c:pt idx="24">
                  <c:v>48.616123941499907</c:v>
                </c:pt>
                <c:pt idx="25">
                  <c:v>48.610225328518247</c:v>
                </c:pt>
                <c:pt idx="26">
                  <c:v>48.604265677244541</c:v>
                </c:pt>
                <c:pt idx="27">
                  <c:v>48.598244833920177</c:v>
                </c:pt>
                <c:pt idx="28">
                  <c:v>48.592162642914758</c:v>
                </c:pt>
                <c:pt idx="29">
                  <c:v>48.586018946712635</c:v>
                </c:pt>
                <c:pt idx="30">
                  <c:v>48.579813585899132</c:v>
                </c:pt>
                <c:pt idx="31">
                  <c:v>48.573546399146679</c:v>
                </c:pt>
                <c:pt idx="32">
                  <c:v>48.567217223200593</c:v>
                </c:pt>
                <c:pt idx="33">
                  <c:v>48.560825892864848</c:v>
                </c:pt>
                <c:pt idx="34">
                  <c:v>48.554372240987384</c:v>
                </c:pt>
                <c:pt idx="35">
                  <c:v>48.547856098445429</c:v>
                </c:pt>
                <c:pt idx="36">
                  <c:v>48.541277294130467</c:v>
                </c:pt>
                <c:pt idx="37">
                  <c:v>48.534635654932998</c:v>
                </c:pt>
                <c:pt idx="38">
                  <c:v>48.52793100572714</c:v>
                </c:pt>
                <c:pt idx="39">
                  <c:v>48.521163169354899</c:v>
                </c:pt>
                <c:pt idx="40">
                  <c:v>48.514331966610335</c:v>
                </c:pt>
                <c:pt idx="41">
                  <c:v>48.507437216223344</c:v>
                </c:pt>
                <c:pt idx="42">
                  <c:v>48.500478734843355</c:v>
                </c:pt>
                <c:pt idx="43">
                  <c:v>48.49345633702265</c:v>
                </c:pt>
                <c:pt idx="44">
                  <c:v>48.48636983519954</c:v>
                </c:pt>
                <c:pt idx="45">
                  <c:v>48.479219039681254</c:v>
                </c:pt>
                <c:pt idx="46">
                  <c:v>48.472003758626556</c:v>
                </c:pt>
                <c:pt idx="47">
                  <c:v>48.464723798028132</c:v>
                </c:pt>
                <c:pt idx="48">
                  <c:v>48.457378961694715</c:v>
                </c:pt>
                <c:pt idx="49">
                  <c:v>48.449969051233005</c:v>
                </c:pt>
                <c:pt idx="50">
                  <c:v>48.442493866029132</c:v>
                </c:pt>
                <c:pt idx="51">
                  <c:v>48.434953203230158</c:v>
                </c:pt>
                <c:pt idx="52">
                  <c:v>48.42734685772497</c:v>
                </c:pt>
                <c:pt idx="53">
                  <c:v>48.419674622125136</c:v>
                </c:pt>
                <c:pt idx="54">
                  <c:v>48.41193628674543</c:v>
                </c:pt>
                <c:pt idx="55">
                  <c:v>48.404131639583937</c:v>
                </c:pt>
                <c:pt idx="56">
                  <c:v>48.396260466302095</c:v>
                </c:pt>
                <c:pt idx="57">
                  <c:v>48.388322550204229</c:v>
                </c:pt>
                <c:pt idx="58">
                  <c:v>48.380317672216911</c:v>
                </c:pt>
                <c:pt idx="59">
                  <c:v>48.372245610868006</c:v>
                </c:pt>
                <c:pt idx="60">
                  <c:v>48.364106142265335</c:v>
                </c:pt>
                <c:pt idx="61">
                  <c:v>48.355899040075137</c:v>
                </c:pt>
                <c:pt idx="62">
                  <c:v>48.34762407550015</c:v>
                </c:pt>
                <c:pt idx="63">
                  <c:v>48.339281017257314</c:v>
                </c:pt>
                <c:pt idx="64">
                  <c:v>48.330869631555295</c:v>
                </c:pt>
                <c:pt idx="65">
                  <c:v>48.322389682071581</c:v>
                </c:pt>
                <c:pt idx="66">
                  <c:v>48.313840929929214</c:v>
                </c:pt>
                <c:pt idx="67">
                  <c:v>48.305223133673238</c:v>
                </c:pt>
                <c:pt idx="68">
                  <c:v>48.296536049246832</c:v>
                </c:pt>
                <c:pt idx="69">
                  <c:v>48.287779429966974</c:v>
                </c:pt>
                <c:pt idx="70">
                  <c:v>48.278953026499906</c:v>
                </c:pt>
                <c:pt idx="71">
                  <c:v>48.270056586836048</c:v>
                </c:pt>
                <c:pt idx="72">
                  <c:v>48.261089856264725</c:v>
                </c:pt>
                <c:pt idx="73">
                  <c:v>48.252052577348415</c:v>
                </c:pt>
                <c:pt idx="74">
                  <c:v>48.242944489896608</c:v>
                </c:pt>
                <c:pt idx="75">
                  <c:v>48.233765330939399</c:v>
                </c:pt>
                <c:pt idx="76">
                  <c:v>48.224514834700514</c:v>
                </c:pt>
                <c:pt idx="77">
                  <c:v>48.215192732570038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F9-4E37-BF15-8C5971C69B3F}"/>
            </c:ext>
          </c:extLst>
        </c:ser>
        <c:ser>
          <c:idx val="0"/>
          <c:order val="1"/>
          <c:tx>
            <c:v>Primary</c:v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11c'!$D$3:$D$80</c:f>
              <c:numCache>
                <c:formatCode>0.000</c:formatCode>
                <c:ptCount val="78"/>
                <c:pt idx="0">
                  <c:v>45.614337474554368</c:v>
                </c:pt>
                <c:pt idx="1">
                  <c:v>45.609344551182133</c:v>
                </c:pt>
                <c:pt idx="2">
                  <c:v>45.604286968517052</c:v>
                </c:pt>
                <c:pt idx="3">
                  <c:v>45.599164597821002</c:v>
                </c:pt>
                <c:pt idx="4">
                  <c:v>45.593977308515058</c:v>
                </c:pt>
                <c:pt idx="5">
                  <c:v>45.588724968168556</c:v>
                </c:pt>
                <c:pt idx="6">
                  <c:v>45.583407442487967</c:v>
                </c:pt>
                <c:pt idx="7">
                  <c:v>45.578024595305742</c:v>
                </c:pt>
                <c:pt idx="8">
                  <c:v>45.572576288568733</c:v>
                </c:pt>
                <c:pt idx="9">
                  <c:v>45.567062382326561</c:v>
                </c:pt>
                <c:pt idx="10">
                  <c:v>45.561482734719895</c:v>
                </c:pt>
                <c:pt idx="11">
                  <c:v>45.555837201968309</c:v>
                </c:pt>
                <c:pt idx="12">
                  <c:v>45.550125638358118</c:v>
                </c:pt>
                <c:pt idx="13">
                  <c:v>45.544347896229958</c:v>
                </c:pt>
                <c:pt idx="14">
                  <c:v>45.538503825966188</c:v>
                </c:pt>
                <c:pt idx="15">
                  <c:v>45.532593275978115</c:v>
                </c:pt>
                <c:pt idx="16">
                  <c:v>45.526616092692926</c:v>
                </c:pt>
                <c:pt idx="17">
                  <c:v>45.520572120540479</c:v>
                </c:pt>
                <c:pt idx="18">
                  <c:v>45.514461201939973</c:v>
                </c:pt>
                <c:pt idx="19">
                  <c:v>45.508283177286287</c:v>
                </c:pt>
                <c:pt idx="20">
                  <c:v>45.502037884935987</c:v>
                </c:pt>
                <c:pt idx="21">
                  <c:v>45.495725161193533</c:v>
                </c:pt>
                <c:pt idx="22">
                  <c:v>45.489344840296795</c:v>
                </c:pt>
                <c:pt idx="23">
                  <c:v>45.482896754402702</c:v>
                </c:pt>
                <c:pt idx="24">
                  <c:v>45.476380733572483</c:v>
                </c:pt>
                <c:pt idx="25">
                  <c:v>45.469796605756706</c:v>
                </c:pt>
                <c:pt idx="26">
                  <c:v>45.4631441967801</c:v>
                </c:pt>
                <c:pt idx="27">
                  <c:v>45.456423330326245</c:v>
                </c:pt>
                <c:pt idx="28">
                  <c:v>45.4496338279219</c:v>
                </c:pt>
                <c:pt idx="29">
                  <c:v>45.442775508921088</c:v>
                </c:pt>
                <c:pt idx="30">
                  <c:v>45.435848190489033</c:v>
                </c:pt>
                <c:pt idx="31">
                  <c:v>45.428851687585862</c:v>
                </c:pt>
                <c:pt idx="32">
                  <c:v>45.421785812949885</c:v>
                </c:pt>
                <c:pt idx="33">
                  <c:v>45.414650377080882</c:v>
                </c:pt>
                <c:pt idx="34">
                  <c:v>45.407445188222894</c:v>
                </c:pt>
                <c:pt idx="35">
                  <c:v>45.400170052346951</c:v>
                </c:pt>
                <c:pt idx="36">
                  <c:v>45.392824773133455</c:v>
                </c:pt>
                <c:pt idx="37">
                  <c:v>45.385409151954235</c:v>
                </c:pt>
                <c:pt idx="38">
                  <c:v>45.377922987854426</c:v>
                </c:pt>
                <c:pt idx="39">
                  <c:v>45.370366077534136</c:v>
                </c:pt>
                <c:pt idx="40">
                  <c:v>45.362738215329657</c:v>
                </c:pt>
                <c:pt idx="41">
                  <c:v>45.355039193194514</c:v>
                </c:pt>
                <c:pt idx="42">
                  <c:v>45.347268800680304</c:v>
                </c:pt>
                <c:pt idx="43">
                  <c:v>45.339426824917055</c:v>
                </c:pt>
                <c:pt idx="44">
                  <c:v>45.331513050593408</c:v>
                </c:pt>
                <c:pt idx="45">
                  <c:v>45.323527259936647</c:v>
                </c:pt>
                <c:pt idx="46">
                  <c:v>45.315469232692088</c:v>
                </c:pt>
                <c:pt idx="47">
                  <c:v>45.307338746102474</c:v>
                </c:pt>
                <c:pt idx="48">
                  <c:v>45.299135574886904</c:v>
                </c:pt>
                <c:pt idx="49">
                  <c:v>45.290859491219592</c:v>
                </c:pt>
                <c:pt idx="50">
                  <c:v>45.282510264708073</c:v>
                </c:pt>
                <c:pt idx="51">
                  <c:v>45.274087662371329</c:v>
                </c:pt>
                <c:pt idx="52">
                  <c:v>45.265591448617492</c:v>
                </c:pt>
                <c:pt idx="53">
                  <c:v>45.257021385221151</c:v>
                </c:pt>
                <c:pt idx="54">
                  <c:v>45.248377231300523</c:v>
                </c:pt>
                <c:pt idx="55">
                  <c:v>45.239658743294008</c:v>
                </c:pt>
                <c:pt idx="56">
                  <c:v>45.230865674936666</c:v>
                </c:pt>
                <c:pt idx="57">
                  <c:v>45.221997777236126</c:v>
                </c:pt>
                <c:pt idx="58">
                  <c:v>45.213054798448375</c:v>
                </c:pt>
                <c:pt idx="59">
                  <c:v>45.204036484052907</c:v>
                </c:pt>
                <c:pt idx="60">
                  <c:v>45.194942576727719</c:v>
                </c:pt>
                <c:pt idx="61">
                  <c:v>45.185772816323919</c:v>
                </c:pt>
                <c:pt idx="62">
                  <c:v>45.176526939839846</c:v>
                </c:pt>
                <c:pt idx="63">
                  <c:v>45.167204681394857</c:v>
                </c:pt>
                <c:pt idx="64">
                  <c:v>45.157805772202849</c:v>
                </c:pt>
                <c:pt idx="65">
                  <c:v>45.148329940545125</c:v>
                </c:pt>
                <c:pt idx="66">
                  <c:v>45.138776911743115</c:v>
                </c:pt>
                <c:pt idx="67">
                  <c:v>45.129146408130637</c:v>
                </c:pt>
                <c:pt idx="68">
                  <c:v>45.119438149025548</c:v>
                </c:pt>
                <c:pt idx="69">
                  <c:v>45.109651850701241</c:v>
                </c:pt>
                <c:pt idx="70">
                  <c:v>45.099787226357556</c:v>
                </c:pt>
                <c:pt idx="71">
                  <c:v>45.089843986091402</c:v>
                </c:pt>
                <c:pt idx="72">
                  <c:v>45.079821836866657</c:v>
                </c:pt>
                <c:pt idx="73">
                  <c:v>45.069720482483945</c:v>
                </c:pt>
                <c:pt idx="74">
                  <c:v>45.059539623549853</c:v>
                </c:pt>
                <c:pt idx="75">
                  <c:v>45.049278957445537</c:v>
                </c:pt>
                <c:pt idx="76">
                  <c:v>45.038938178295133</c:v>
                </c:pt>
                <c:pt idx="77">
                  <c:v>45.02851697693329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9-4E37-BF15-8C5971C69B3F}"/>
            </c:ext>
          </c:extLst>
        </c:ser>
        <c:ser>
          <c:idx val="1"/>
          <c:order val="2"/>
          <c:tx>
            <c:v>Secondary</c:v>
          </c:tx>
          <c:spPr>
            <a:ln w="44450" cap="rnd" cmpd="sng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11c'!$G$3:$G$80</c:f>
              <c:numCache>
                <c:formatCode>0.000</c:formatCode>
                <c:ptCount val="78"/>
                <c:pt idx="0">
                  <c:v>40.40318265208181</c:v>
                </c:pt>
                <c:pt idx="1">
                  <c:v>40.397189373078454</c:v>
                </c:pt>
                <c:pt idx="2">
                  <c:v>40.391118250160744</c:v>
                </c:pt>
                <c:pt idx="3">
                  <c:v>40.384969119801617</c:v>
                </c:pt>
                <c:pt idx="4">
                  <c:v>40.378741816117987</c:v>
                </c:pt>
                <c:pt idx="5">
                  <c:v>40.372436170856254</c:v>
                </c:pt>
                <c:pt idx="6">
                  <c:v>40.366052013377299</c:v>
                </c:pt>
                <c:pt idx="7">
                  <c:v>40.359589170641527</c:v>
                </c:pt>
                <c:pt idx="8">
                  <c:v>40.353047467193406</c:v>
                </c:pt>
                <c:pt idx="9">
                  <c:v>40.346426725146046</c:v>
                </c:pt>
                <c:pt idx="10">
                  <c:v>40.339726764165164</c:v>
                </c:pt>
                <c:pt idx="11">
                  <c:v>40.332947401453133</c:v>
                </c:pt>
                <c:pt idx="12">
                  <c:v>40.32608845173251</c:v>
                </c:pt>
                <c:pt idx="13">
                  <c:v>40.31914972722948</c:v>
                </c:pt>
                <c:pt idx="14">
                  <c:v>40.312131037656911</c:v>
                </c:pt>
                <c:pt idx="15">
                  <c:v>40.305032190197217</c:v>
                </c:pt>
                <c:pt idx="16">
                  <c:v>40.29785298948488</c:v>
                </c:pt>
                <c:pt idx="17">
                  <c:v>40.290593237588752</c:v>
                </c:pt>
                <c:pt idx="18">
                  <c:v>40.283252733994054</c:v>
                </c:pt>
                <c:pt idx="19">
                  <c:v>40.275831275584139</c:v>
                </c:pt>
                <c:pt idx="20">
                  <c:v>40.268328656621726</c:v>
                </c:pt>
                <c:pt idx="21">
                  <c:v>40.260744668730283</c:v>
                </c:pt>
                <c:pt idx="22">
                  <c:v>40.253079100874722</c:v>
                </c:pt>
                <c:pt idx="23">
                  <c:v>40.245331739341935</c:v>
                </c:pt>
                <c:pt idx="24">
                  <c:v>40.237502367721063</c:v>
                </c:pt>
                <c:pt idx="25">
                  <c:v>40.22959076688344</c:v>
                </c:pt>
                <c:pt idx="26">
                  <c:v>40.221596714962125</c:v>
                </c:pt>
                <c:pt idx="27">
                  <c:v>40.213519987331303</c:v>
                </c:pt>
                <c:pt idx="28">
                  <c:v>40.205360356585196</c:v>
                </c:pt>
                <c:pt idx="29">
                  <c:v>40.197117592516733</c:v>
                </c:pt>
                <c:pt idx="30">
                  <c:v>40.188791462095843</c:v>
                </c:pt>
                <c:pt idx="31">
                  <c:v>40.180381729447568</c:v>
                </c:pt>
                <c:pt idx="32">
                  <c:v>40.171888155829528</c:v>
                </c:pt>
                <c:pt idx="33">
                  <c:v>40.16331049960943</c:v>
                </c:pt>
                <c:pt idx="34">
                  <c:v>40.154648516241863</c:v>
                </c:pt>
                <c:pt idx="35">
                  <c:v>40.145901958245041</c:v>
                </c:pt>
                <c:pt idx="36">
                  <c:v>40.137070575176999</c:v>
                </c:pt>
                <c:pt idx="37">
                  <c:v>40.128154113611501</c:v>
                </c:pt>
                <c:pt idx="38">
                  <c:v>40.11915231711356</c:v>
                </c:pt>
                <c:pt idx="39">
                  <c:v>40.110064926214598</c:v>
                </c:pt>
                <c:pt idx="40">
                  <c:v>40.100891678387249</c:v>
                </c:pt>
                <c:pt idx="41">
                  <c:v>40.091632308019726</c:v>
                </c:pt>
                <c:pt idx="42">
                  <c:v>40.082286546389881</c:v>
                </c:pt>
                <c:pt idx="43">
                  <c:v>40.072854121638727</c:v>
                </c:pt>
                <c:pt idx="44">
                  <c:v>40.063334758743729</c:v>
                </c:pt>
                <c:pt idx="45">
                  <c:v>40.053728179491628</c:v>
                </c:pt>
                <c:pt idx="46">
                  <c:v>40.04403410245083</c:v>
                </c:pt>
                <c:pt idx="47">
                  <c:v>40.034252242943317</c:v>
                </c:pt>
                <c:pt idx="48">
                  <c:v>40.024382313016254</c:v>
                </c:pt>
                <c:pt idx="49">
                  <c:v>40.01442402141322</c:v>
                </c:pt>
                <c:pt idx="50">
                  <c:v>40.00437707354471</c:v>
                </c:pt>
                <c:pt idx="51">
                  <c:v>39.994241171458583</c:v>
                </c:pt>
                <c:pt idx="52">
                  <c:v>39.984016013809715</c:v>
                </c:pt>
                <c:pt idx="53">
                  <c:v>39.973701295829379</c:v>
                </c:pt>
                <c:pt idx="54">
                  <c:v>39.96329670929422</c:v>
                </c:pt>
                <c:pt idx="55">
                  <c:v>39.952801942494553</c:v>
                </c:pt>
                <c:pt idx="56">
                  <c:v>39.942216680202392</c:v>
                </c:pt>
                <c:pt idx="57">
                  <c:v>39.931540603638823</c:v>
                </c:pt>
                <c:pt idx="58">
                  <c:v>39.920773390441006</c:v>
                </c:pt>
                <c:pt idx="59">
                  <c:v>39.909914714628698</c:v>
                </c:pt>
                <c:pt idx="60">
                  <c:v>39.898964246570038</c:v>
                </c:pt>
                <c:pt idx="61">
                  <c:v>39.887921652947156</c:v>
                </c:pt>
                <c:pt idx="62">
                  <c:v>39.87678659672104</c:v>
                </c:pt>
                <c:pt idx="63">
                  <c:v>39.865558737095853</c:v>
                </c:pt>
                <c:pt idx="64">
                  <c:v>39.85423772948284</c:v>
                </c:pt>
                <c:pt idx="65">
                  <c:v>39.842823225463675</c:v>
                </c:pt>
                <c:pt idx="66">
                  <c:v>39.831314872753026</c:v>
                </c:pt>
                <c:pt idx="67">
                  <c:v>39.819712315160885</c:v>
                </c:pt>
                <c:pt idx="68">
                  <c:v>39.808015192554144</c:v>
                </c:pt>
                <c:pt idx="69">
                  <c:v>39.796223140817517</c:v>
                </c:pt>
                <c:pt idx="70">
                  <c:v>39.784335791814037</c:v>
                </c:pt>
                <c:pt idx="71">
                  <c:v>39.772352773344878</c:v>
                </c:pt>
                <c:pt idx="72">
                  <c:v>39.760273709108482</c:v>
                </c:pt>
                <c:pt idx="73">
                  <c:v>39.748098218659173</c:v>
                </c:pt>
                <c:pt idx="74">
                  <c:v>39.735825917365112</c:v>
                </c:pt>
                <c:pt idx="75">
                  <c:v>39.723456416365572</c:v>
                </c:pt>
                <c:pt idx="76">
                  <c:v>39.710989322527652</c:v>
                </c:pt>
                <c:pt idx="77">
                  <c:v>39.698424238402026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F9-4E37-BF15-8C5971C69B3F}"/>
            </c:ext>
          </c:extLst>
        </c:ser>
        <c:ser>
          <c:idx val="3"/>
          <c:order val="3"/>
          <c:tx>
            <c:v>Sec Red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11c'!$S$3:$S$17</c:f>
              <c:numCache>
                <c:formatCode>General</c:formatCode>
                <c:ptCount val="15"/>
                <c:pt idx="0">
                  <c:v>40.40318265208181</c:v>
                </c:pt>
                <c:pt idx="1">
                  <c:v>40.397189373078454</c:v>
                </c:pt>
                <c:pt idx="2">
                  <c:v>40.391118250160744</c:v>
                </c:pt>
                <c:pt idx="3">
                  <c:v>40.384969119801617</c:v>
                </c:pt>
                <c:pt idx="4">
                  <c:v>40.378741816117987</c:v>
                </c:pt>
                <c:pt idx="5">
                  <c:v>40.372436170856254</c:v>
                </c:pt>
                <c:pt idx="6">
                  <c:v>40.366052013377299</c:v>
                </c:pt>
                <c:pt idx="7">
                  <c:v>40.359589170641527</c:v>
                </c:pt>
                <c:pt idx="8">
                  <c:v>40.353047467193406</c:v>
                </c:pt>
                <c:pt idx="9">
                  <c:v>40.346426725146046</c:v>
                </c:pt>
                <c:pt idx="10">
                  <c:v>40.339726764165164</c:v>
                </c:pt>
                <c:pt idx="11">
                  <c:v>40.332947401453133</c:v>
                </c:pt>
                <c:pt idx="12">
                  <c:v>40.32608845173251</c:v>
                </c:pt>
                <c:pt idx="13">
                  <c:v>40.31914972722948</c:v>
                </c:pt>
                <c:pt idx="14">
                  <c:v>40.312131037656911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F9-4E37-BF15-8C5971C69B3F}"/>
            </c:ext>
          </c:extLst>
        </c:ser>
        <c:ser>
          <c:idx val="4"/>
          <c:order val="4"/>
          <c:tx>
            <c:v>Sec Orange</c:v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11c'!$T$3:$T$23</c:f>
              <c:numCache>
                <c:formatCode>General</c:formatCode>
                <c:ptCount val="21"/>
                <c:pt idx="15" formatCode="0.0000">
                  <c:v>40.305032190197217</c:v>
                </c:pt>
                <c:pt idx="16" formatCode="0.0000">
                  <c:v>40.29785298948488</c:v>
                </c:pt>
                <c:pt idx="17" formatCode="0.0000">
                  <c:v>40.290593237588752</c:v>
                </c:pt>
                <c:pt idx="18" formatCode="0.0000">
                  <c:v>40.283252733994054</c:v>
                </c:pt>
                <c:pt idx="19" formatCode="0.0000">
                  <c:v>40.275831275584139</c:v>
                </c:pt>
                <c:pt idx="20" formatCode="0.0000">
                  <c:v>40.268328656621726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F9-4E37-BF15-8C5971C69B3F}"/>
            </c:ext>
          </c:extLst>
        </c:ser>
        <c:ser>
          <c:idx val="5"/>
          <c:order val="5"/>
          <c:tx>
            <c:v>Sec Yellow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11c'!$U$3:$U$27</c:f>
              <c:numCache>
                <c:formatCode>General</c:formatCode>
                <c:ptCount val="25"/>
                <c:pt idx="21">
                  <c:v>40.260744668730283</c:v>
                </c:pt>
                <c:pt idx="22">
                  <c:v>40.253079100874722</c:v>
                </c:pt>
                <c:pt idx="23">
                  <c:v>40.245331739341935</c:v>
                </c:pt>
                <c:pt idx="24">
                  <c:v>40.237502367721063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F9-4E37-BF15-8C5971C69B3F}"/>
            </c:ext>
          </c:extLst>
        </c:ser>
        <c:ser>
          <c:idx val="6"/>
          <c:order val="6"/>
          <c:tx>
            <c:v>Sec Green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11c'!$V$3:$V$41</c:f>
              <c:numCache>
                <c:formatCode>General</c:formatCode>
                <c:ptCount val="39"/>
                <c:pt idx="25" formatCode="0.0000">
                  <c:v>40.22959076688344</c:v>
                </c:pt>
                <c:pt idx="26" formatCode="0.0000">
                  <c:v>40.221596714962125</c:v>
                </c:pt>
                <c:pt idx="27" formatCode="0.0000">
                  <c:v>40.213519987331303</c:v>
                </c:pt>
                <c:pt idx="28" formatCode="0.0000">
                  <c:v>40.205360356585196</c:v>
                </c:pt>
                <c:pt idx="29" formatCode="0.0000">
                  <c:v>40.197117592516733</c:v>
                </c:pt>
                <c:pt idx="30" formatCode="0.0000">
                  <c:v>40.188791462095843</c:v>
                </c:pt>
                <c:pt idx="31" formatCode="0.0000">
                  <c:v>40.180381729447568</c:v>
                </c:pt>
                <c:pt idx="32" formatCode="0.0000">
                  <c:v>40.171888155829528</c:v>
                </c:pt>
                <c:pt idx="33" formatCode="0.0000">
                  <c:v>40.16331049960943</c:v>
                </c:pt>
                <c:pt idx="34" formatCode="0.0000">
                  <c:v>40.154648516241863</c:v>
                </c:pt>
                <c:pt idx="35" formatCode="0.0000">
                  <c:v>40.145901958245041</c:v>
                </c:pt>
                <c:pt idx="36" formatCode="0.0000">
                  <c:v>40.137070575176999</c:v>
                </c:pt>
                <c:pt idx="37" formatCode="0.0000">
                  <c:v>40.128154113611501</c:v>
                </c:pt>
                <c:pt idx="38" formatCode="0.0000">
                  <c:v>40.11915231711356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F9-4E37-BF15-8C5971C69B3F}"/>
            </c:ext>
          </c:extLst>
        </c:ser>
        <c:ser>
          <c:idx val="7"/>
          <c:order val="7"/>
          <c:tx>
            <c:v>Sec Cyan</c:v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8E8D8"/>
              </a:solidFill>
              <a:ln w="9525">
                <a:solidFill>
                  <a:srgbClr val="08E8D8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11c'!$W$3:$W$45</c:f>
              <c:numCache>
                <c:formatCode>General</c:formatCode>
                <c:ptCount val="43"/>
                <c:pt idx="39" formatCode="0.0000">
                  <c:v>40.110064926214598</c:v>
                </c:pt>
                <c:pt idx="40" formatCode="0.0000">
                  <c:v>40.100891678387249</c:v>
                </c:pt>
                <c:pt idx="41" formatCode="0.0000">
                  <c:v>40.091632308019726</c:v>
                </c:pt>
                <c:pt idx="42" formatCode="0.0000">
                  <c:v>40.082286546389881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F9-4E37-BF15-8C5971C69B3F}"/>
            </c:ext>
          </c:extLst>
        </c:ser>
        <c:ser>
          <c:idx val="8"/>
          <c:order val="8"/>
          <c:tx>
            <c:v>Sec Blue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11c'!$X$3:$X$57</c:f>
              <c:numCache>
                <c:formatCode>General</c:formatCode>
                <c:ptCount val="55"/>
                <c:pt idx="43" formatCode="0.0000">
                  <c:v>40.072854121638727</c:v>
                </c:pt>
                <c:pt idx="44" formatCode="0.0000">
                  <c:v>40.063334758743729</c:v>
                </c:pt>
                <c:pt idx="45" formatCode="0.0000">
                  <c:v>40.053728179491628</c:v>
                </c:pt>
                <c:pt idx="46" formatCode="0.0000">
                  <c:v>40.04403410245083</c:v>
                </c:pt>
                <c:pt idx="47" formatCode="0.0000">
                  <c:v>40.034252242943317</c:v>
                </c:pt>
                <c:pt idx="48" formatCode="0.0000">
                  <c:v>40.024382313016254</c:v>
                </c:pt>
                <c:pt idx="49" formatCode="0.0000">
                  <c:v>40.01442402141322</c:v>
                </c:pt>
                <c:pt idx="50" formatCode="0.0000">
                  <c:v>40.00437707354471</c:v>
                </c:pt>
                <c:pt idx="51" formatCode="0.0000">
                  <c:v>39.994241171458583</c:v>
                </c:pt>
                <c:pt idx="52" formatCode="0.0000">
                  <c:v>39.984016013809715</c:v>
                </c:pt>
                <c:pt idx="53" formatCode="0.0000">
                  <c:v>39.973701295829379</c:v>
                </c:pt>
                <c:pt idx="54" formatCode="0.0000">
                  <c:v>39.96329670929422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F9-4E37-BF15-8C5971C69B3F}"/>
            </c:ext>
          </c:extLst>
        </c:ser>
        <c:ser>
          <c:idx val="9"/>
          <c:order val="9"/>
          <c:tx>
            <c:v>Sec Violet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11c'!$Y$3:$Y$80</c:f>
              <c:numCache>
                <c:formatCode>General</c:formatCode>
                <c:ptCount val="78"/>
                <c:pt idx="55" formatCode="0.0000">
                  <c:v>39.952801942494553</c:v>
                </c:pt>
                <c:pt idx="56" formatCode="0.0000">
                  <c:v>39.942216680202392</c:v>
                </c:pt>
                <c:pt idx="57" formatCode="0.0000">
                  <c:v>39.931540603638823</c:v>
                </c:pt>
                <c:pt idx="58" formatCode="0.0000">
                  <c:v>39.920773390441006</c:v>
                </c:pt>
                <c:pt idx="59" formatCode="0.0000">
                  <c:v>39.909914714628698</c:v>
                </c:pt>
                <c:pt idx="60" formatCode="0.0000">
                  <c:v>39.898964246570038</c:v>
                </c:pt>
                <c:pt idx="61" formatCode="0.0000">
                  <c:v>39.887921652947156</c:v>
                </c:pt>
                <c:pt idx="62" formatCode="0.0000">
                  <c:v>39.87678659672104</c:v>
                </c:pt>
                <c:pt idx="63" formatCode="0.0000">
                  <c:v>39.865558737095853</c:v>
                </c:pt>
                <c:pt idx="64" formatCode="0.0000">
                  <c:v>39.85423772948284</c:v>
                </c:pt>
                <c:pt idx="65" formatCode="0.0000">
                  <c:v>39.842823225463675</c:v>
                </c:pt>
                <c:pt idx="66" formatCode="0.0000">
                  <c:v>39.831314872753026</c:v>
                </c:pt>
                <c:pt idx="67" formatCode="0.0000">
                  <c:v>39.819712315160885</c:v>
                </c:pt>
                <c:pt idx="68" formatCode="0.0000">
                  <c:v>39.808015192554144</c:v>
                </c:pt>
                <c:pt idx="69" formatCode="0.0000">
                  <c:v>39.796223140817517</c:v>
                </c:pt>
                <c:pt idx="70" formatCode="0.0000">
                  <c:v>39.784335791814037</c:v>
                </c:pt>
                <c:pt idx="71" formatCode="0.0000">
                  <c:v>39.772352773344878</c:v>
                </c:pt>
                <c:pt idx="72" formatCode="0.0000">
                  <c:v>39.760273709108482</c:v>
                </c:pt>
                <c:pt idx="73" formatCode="0.0000">
                  <c:v>39.748098218659173</c:v>
                </c:pt>
                <c:pt idx="74" formatCode="0.0000">
                  <c:v>39.735825917365112</c:v>
                </c:pt>
                <c:pt idx="75" formatCode="0.0000">
                  <c:v>39.723456416365572</c:v>
                </c:pt>
                <c:pt idx="76" formatCode="0.0000">
                  <c:v>39.710989322527652</c:v>
                </c:pt>
                <c:pt idx="77" formatCode="0.0000">
                  <c:v>39.698424238402026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F9-4E37-BF15-8C5971C69B3F}"/>
            </c:ext>
          </c:extLst>
        </c:ser>
        <c:ser>
          <c:idx val="10"/>
          <c:order val="10"/>
          <c:tx>
            <c:v>Prim Red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11c'!$K$3:$K$17</c:f>
              <c:numCache>
                <c:formatCode>0.0000</c:formatCode>
                <c:ptCount val="15"/>
                <c:pt idx="0">
                  <c:v>45.614337474554368</c:v>
                </c:pt>
                <c:pt idx="1">
                  <c:v>45.609344551182133</c:v>
                </c:pt>
                <c:pt idx="2">
                  <c:v>45.604286968517052</c:v>
                </c:pt>
                <c:pt idx="3">
                  <c:v>45.599164597821002</c:v>
                </c:pt>
                <c:pt idx="4">
                  <c:v>45.593977308515058</c:v>
                </c:pt>
                <c:pt idx="5">
                  <c:v>45.588724968168556</c:v>
                </c:pt>
                <c:pt idx="6">
                  <c:v>45.583407442487967</c:v>
                </c:pt>
                <c:pt idx="7">
                  <c:v>45.578024595305742</c:v>
                </c:pt>
                <c:pt idx="8">
                  <c:v>45.572576288568733</c:v>
                </c:pt>
                <c:pt idx="9">
                  <c:v>45.567062382326561</c:v>
                </c:pt>
                <c:pt idx="10">
                  <c:v>45.561482734719895</c:v>
                </c:pt>
                <c:pt idx="11">
                  <c:v>45.555837201968309</c:v>
                </c:pt>
                <c:pt idx="12">
                  <c:v>45.550125638358118</c:v>
                </c:pt>
                <c:pt idx="13">
                  <c:v>45.544347896229958</c:v>
                </c:pt>
                <c:pt idx="14">
                  <c:v>45.538503825966188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F9-4E37-BF15-8C5971C69B3F}"/>
            </c:ext>
          </c:extLst>
        </c:ser>
        <c:ser>
          <c:idx val="11"/>
          <c:order val="11"/>
          <c:tx>
            <c:v>Prim Orange</c:v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11c'!$L$3:$L$23</c:f>
              <c:numCache>
                <c:formatCode>General</c:formatCode>
                <c:ptCount val="21"/>
                <c:pt idx="15" formatCode="0.0000">
                  <c:v>45.532593275978115</c:v>
                </c:pt>
                <c:pt idx="16" formatCode="0.0000">
                  <c:v>45.526616092692926</c:v>
                </c:pt>
                <c:pt idx="17" formatCode="0.0000">
                  <c:v>45.520572120540479</c:v>
                </c:pt>
                <c:pt idx="18" formatCode="0.0000">
                  <c:v>45.514461201939973</c:v>
                </c:pt>
                <c:pt idx="19" formatCode="0.0000">
                  <c:v>45.508283177286287</c:v>
                </c:pt>
                <c:pt idx="20" formatCode="0.0000">
                  <c:v>45.502037884935987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F9-4E37-BF15-8C5971C69B3F}"/>
            </c:ext>
          </c:extLst>
        </c:ser>
        <c:ser>
          <c:idx val="12"/>
          <c:order val="12"/>
          <c:tx>
            <c:v>Prim Yellow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11c'!$M$3:$M$27</c:f>
              <c:numCache>
                <c:formatCode>General</c:formatCode>
                <c:ptCount val="25"/>
                <c:pt idx="21" formatCode="0.0000">
                  <c:v>45.495725161193533</c:v>
                </c:pt>
                <c:pt idx="22" formatCode="0.0000">
                  <c:v>45.489344840296795</c:v>
                </c:pt>
                <c:pt idx="23" formatCode="0.0000">
                  <c:v>45.482896754402702</c:v>
                </c:pt>
                <c:pt idx="24" formatCode="0.0000">
                  <c:v>45.476380733572483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F9-4E37-BF15-8C5971C69B3F}"/>
            </c:ext>
          </c:extLst>
        </c:ser>
        <c:ser>
          <c:idx val="13"/>
          <c:order val="13"/>
          <c:tx>
            <c:v>Prim Green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>
                  <a:alpha val="95000"/>
                </a:srgbClr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11c'!$N$3:$N$41</c:f>
              <c:numCache>
                <c:formatCode>General</c:formatCode>
                <c:ptCount val="39"/>
                <c:pt idx="25" formatCode="0.0000">
                  <c:v>45.469796605756706</c:v>
                </c:pt>
                <c:pt idx="26" formatCode="0.0000">
                  <c:v>45.4631441967801</c:v>
                </c:pt>
                <c:pt idx="27" formatCode="0.0000">
                  <c:v>45.456423330326245</c:v>
                </c:pt>
                <c:pt idx="28" formatCode="0.0000">
                  <c:v>45.4496338279219</c:v>
                </c:pt>
                <c:pt idx="29" formatCode="0.0000">
                  <c:v>45.442775508921088</c:v>
                </c:pt>
                <c:pt idx="30" formatCode="0.0000">
                  <c:v>45.435848190489033</c:v>
                </c:pt>
                <c:pt idx="31" formatCode="0.0000">
                  <c:v>45.428851687585862</c:v>
                </c:pt>
                <c:pt idx="32" formatCode="0.0000">
                  <c:v>45.421785812949885</c:v>
                </c:pt>
                <c:pt idx="33" formatCode="0.0000">
                  <c:v>45.414650377080882</c:v>
                </c:pt>
                <c:pt idx="34" formatCode="0.0000">
                  <c:v>45.407445188222894</c:v>
                </c:pt>
                <c:pt idx="35" formatCode="0.0000">
                  <c:v>45.400170052346951</c:v>
                </c:pt>
                <c:pt idx="36" formatCode="0.0000">
                  <c:v>45.392824773133455</c:v>
                </c:pt>
                <c:pt idx="37" formatCode="0.0000">
                  <c:v>45.385409151954235</c:v>
                </c:pt>
                <c:pt idx="38" formatCode="0.0000">
                  <c:v>45.377922987854426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F9-4E37-BF15-8C5971C69B3F}"/>
            </c:ext>
          </c:extLst>
        </c:ser>
        <c:ser>
          <c:idx val="14"/>
          <c:order val="14"/>
          <c:tx>
            <c:v>Prim Cyan</c:v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8E8D8"/>
              </a:solidFill>
              <a:ln w="9525">
                <a:solidFill>
                  <a:srgbClr val="08E8D8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11c'!$O$3:$O$45</c:f>
              <c:numCache>
                <c:formatCode>General</c:formatCode>
                <c:ptCount val="43"/>
                <c:pt idx="39" formatCode="0.0000">
                  <c:v>45.370366077534136</c:v>
                </c:pt>
                <c:pt idx="40" formatCode="0.0000">
                  <c:v>45.362738215329657</c:v>
                </c:pt>
                <c:pt idx="41" formatCode="0.0000">
                  <c:v>45.355039193194514</c:v>
                </c:pt>
                <c:pt idx="42" formatCode="0.0000">
                  <c:v>45.347268800680304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5F9-4E37-BF15-8C5971C69B3F}"/>
            </c:ext>
          </c:extLst>
        </c:ser>
        <c:ser>
          <c:idx val="15"/>
          <c:order val="15"/>
          <c:tx>
            <c:v>Prim Blue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11c'!$P$3:$P$57</c:f>
              <c:numCache>
                <c:formatCode>General</c:formatCode>
                <c:ptCount val="55"/>
                <c:pt idx="43" formatCode="0.0000">
                  <c:v>45.339426824917055</c:v>
                </c:pt>
                <c:pt idx="44" formatCode="0.0000">
                  <c:v>45.331513050593408</c:v>
                </c:pt>
                <c:pt idx="45" formatCode="0.0000">
                  <c:v>45.323527259936647</c:v>
                </c:pt>
                <c:pt idx="46" formatCode="0.0000">
                  <c:v>45.315469232692088</c:v>
                </c:pt>
                <c:pt idx="47" formatCode="0.0000">
                  <c:v>45.307338746102474</c:v>
                </c:pt>
                <c:pt idx="48" formatCode="0.0000">
                  <c:v>45.299135574886904</c:v>
                </c:pt>
                <c:pt idx="49" formatCode="0.0000">
                  <c:v>45.290859491219592</c:v>
                </c:pt>
                <c:pt idx="50" formatCode="0.0000">
                  <c:v>45.282510264708073</c:v>
                </c:pt>
                <c:pt idx="51" formatCode="0.0000">
                  <c:v>45.274087662371329</c:v>
                </c:pt>
                <c:pt idx="52" formatCode="0.0000">
                  <c:v>45.265591448617492</c:v>
                </c:pt>
                <c:pt idx="53" formatCode="0.0000">
                  <c:v>45.257021385221151</c:v>
                </c:pt>
                <c:pt idx="54" formatCode="0.0000">
                  <c:v>45.248377231300523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5F9-4E37-BF15-8C5971C69B3F}"/>
            </c:ext>
          </c:extLst>
        </c:ser>
        <c:ser>
          <c:idx val="16"/>
          <c:order val="16"/>
          <c:tx>
            <c:v>Prim Violet</c:v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'Challenge 11c'!$A$3:$A$80</c:f>
              <c:numCache>
                <c:formatCode>General</c:formatCode>
                <c:ptCount val="78"/>
                <c:pt idx="0">
                  <c:v>405</c:v>
                </c:pt>
                <c:pt idx="1">
                  <c:v>410</c:v>
                </c:pt>
                <c:pt idx="2">
                  <c:v>415</c:v>
                </c:pt>
                <c:pt idx="3">
                  <c:v>420</c:v>
                </c:pt>
                <c:pt idx="4">
                  <c:v>425</c:v>
                </c:pt>
                <c:pt idx="5">
                  <c:v>430</c:v>
                </c:pt>
                <c:pt idx="6">
                  <c:v>435</c:v>
                </c:pt>
                <c:pt idx="7">
                  <c:v>440</c:v>
                </c:pt>
                <c:pt idx="8">
                  <c:v>445</c:v>
                </c:pt>
                <c:pt idx="9">
                  <c:v>450</c:v>
                </c:pt>
                <c:pt idx="10">
                  <c:v>455</c:v>
                </c:pt>
                <c:pt idx="11">
                  <c:v>460</c:v>
                </c:pt>
                <c:pt idx="12">
                  <c:v>465</c:v>
                </c:pt>
                <c:pt idx="13">
                  <c:v>470</c:v>
                </c:pt>
                <c:pt idx="14">
                  <c:v>475</c:v>
                </c:pt>
                <c:pt idx="15">
                  <c:v>480</c:v>
                </c:pt>
                <c:pt idx="16">
                  <c:v>485</c:v>
                </c:pt>
                <c:pt idx="17">
                  <c:v>490</c:v>
                </c:pt>
                <c:pt idx="18">
                  <c:v>495</c:v>
                </c:pt>
                <c:pt idx="19">
                  <c:v>500</c:v>
                </c:pt>
                <c:pt idx="20">
                  <c:v>505</c:v>
                </c:pt>
                <c:pt idx="21">
                  <c:v>510</c:v>
                </c:pt>
                <c:pt idx="22">
                  <c:v>515</c:v>
                </c:pt>
                <c:pt idx="23">
                  <c:v>520</c:v>
                </c:pt>
                <c:pt idx="24">
                  <c:v>525</c:v>
                </c:pt>
                <c:pt idx="25">
                  <c:v>530</c:v>
                </c:pt>
                <c:pt idx="26">
                  <c:v>535</c:v>
                </c:pt>
                <c:pt idx="27">
                  <c:v>540</c:v>
                </c:pt>
                <c:pt idx="28">
                  <c:v>545</c:v>
                </c:pt>
                <c:pt idx="29">
                  <c:v>550</c:v>
                </c:pt>
                <c:pt idx="30">
                  <c:v>555</c:v>
                </c:pt>
                <c:pt idx="31">
                  <c:v>560</c:v>
                </c:pt>
                <c:pt idx="32">
                  <c:v>565</c:v>
                </c:pt>
                <c:pt idx="33">
                  <c:v>570</c:v>
                </c:pt>
                <c:pt idx="34">
                  <c:v>575</c:v>
                </c:pt>
                <c:pt idx="35">
                  <c:v>580</c:v>
                </c:pt>
                <c:pt idx="36">
                  <c:v>585</c:v>
                </c:pt>
                <c:pt idx="37">
                  <c:v>590</c:v>
                </c:pt>
                <c:pt idx="38">
                  <c:v>595</c:v>
                </c:pt>
                <c:pt idx="39">
                  <c:v>600</c:v>
                </c:pt>
                <c:pt idx="40">
                  <c:v>605</c:v>
                </c:pt>
                <c:pt idx="41">
                  <c:v>610</c:v>
                </c:pt>
                <c:pt idx="42">
                  <c:v>615</c:v>
                </c:pt>
                <c:pt idx="43">
                  <c:v>620</c:v>
                </c:pt>
                <c:pt idx="44">
                  <c:v>625</c:v>
                </c:pt>
                <c:pt idx="45">
                  <c:v>630</c:v>
                </c:pt>
                <c:pt idx="46">
                  <c:v>635</c:v>
                </c:pt>
                <c:pt idx="47">
                  <c:v>640</c:v>
                </c:pt>
                <c:pt idx="48">
                  <c:v>645</c:v>
                </c:pt>
                <c:pt idx="49">
                  <c:v>650</c:v>
                </c:pt>
                <c:pt idx="50">
                  <c:v>655</c:v>
                </c:pt>
                <c:pt idx="51">
                  <c:v>660</c:v>
                </c:pt>
                <c:pt idx="52">
                  <c:v>665</c:v>
                </c:pt>
                <c:pt idx="53">
                  <c:v>670</c:v>
                </c:pt>
                <c:pt idx="54">
                  <c:v>675</c:v>
                </c:pt>
                <c:pt idx="55">
                  <c:v>680</c:v>
                </c:pt>
                <c:pt idx="56">
                  <c:v>685</c:v>
                </c:pt>
                <c:pt idx="57">
                  <c:v>690</c:v>
                </c:pt>
                <c:pt idx="58">
                  <c:v>695</c:v>
                </c:pt>
                <c:pt idx="59">
                  <c:v>700</c:v>
                </c:pt>
                <c:pt idx="60">
                  <c:v>705</c:v>
                </c:pt>
                <c:pt idx="61">
                  <c:v>710</c:v>
                </c:pt>
                <c:pt idx="62">
                  <c:v>715</c:v>
                </c:pt>
                <c:pt idx="63">
                  <c:v>720</c:v>
                </c:pt>
                <c:pt idx="64">
                  <c:v>725</c:v>
                </c:pt>
                <c:pt idx="65">
                  <c:v>730</c:v>
                </c:pt>
                <c:pt idx="66">
                  <c:v>735</c:v>
                </c:pt>
                <c:pt idx="67">
                  <c:v>740</c:v>
                </c:pt>
                <c:pt idx="68">
                  <c:v>745</c:v>
                </c:pt>
                <c:pt idx="69">
                  <c:v>750</c:v>
                </c:pt>
                <c:pt idx="70">
                  <c:v>755</c:v>
                </c:pt>
                <c:pt idx="71">
                  <c:v>760</c:v>
                </c:pt>
                <c:pt idx="72">
                  <c:v>765</c:v>
                </c:pt>
                <c:pt idx="73">
                  <c:v>770</c:v>
                </c:pt>
                <c:pt idx="74">
                  <c:v>775</c:v>
                </c:pt>
                <c:pt idx="75">
                  <c:v>780</c:v>
                </c:pt>
                <c:pt idx="76">
                  <c:v>785</c:v>
                </c:pt>
                <c:pt idx="77">
                  <c:v>790</c:v>
                </c:pt>
              </c:numCache>
            </c:numRef>
          </c:cat>
          <c:val>
            <c:numRef>
              <c:f>'Challenge 11c'!$Q$3:$Q$80</c:f>
              <c:numCache>
                <c:formatCode>General</c:formatCode>
                <c:ptCount val="78"/>
                <c:pt idx="55" formatCode="0.0000">
                  <c:v>45.239658743294008</c:v>
                </c:pt>
                <c:pt idx="56" formatCode="0.0000">
                  <c:v>45.230865674936666</c:v>
                </c:pt>
                <c:pt idx="57" formatCode="0.0000">
                  <c:v>45.221997777236126</c:v>
                </c:pt>
                <c:pt idx="58" formatCode="0.0000">
                  <c:v>45.213054798448375</c:v>
                </c:pt>
                <c:pt idx="59" formatCode="0.0000">
                  <c:v>45.204036484052907</c:v>
                </c:pt>
                <c:pt idx="60" formatCode="0.0000">
                  <c:v>45.194942576727719</c:v>
                </c:pt>
                <c:pt idx="61" formatCode="0.0000">
                  <c:v>45.185772816323919</c:v>
                </c:pt>
                <c:pt idx="62" formatCode="0.0000">
                  <c:v>45.176526939839846</c:v>
                </c:pt>
                <c:pt idx="63" formatCode="0.0000">
                  <c:v>45.167204681394857</c:v>
                </c:pt>
                <c:pt idx="64" formatCode="0.0000">
                  <c:v>45.157805772202849</c:v>
                </c:pt>
                <c:pt idx="65" formatCode="0.0000">
                  <c:v>45.148329940545125</c:v>
                </c:pt>
                <c:pt idx="66" formatCode="0.0000">
                  <c:v>45.138776911743115</c:v>
                </c:pt>
                <c:pt idx="67" formatCode="0.0000">
                  <c:v>45.129146408130637</c:v>
                </c:pt>
                <c:pt idx="68" formatCode="0.0000">
                  <c:v>45.119438149025548</c:v>
                </c:pt>
                <c:pt idx="69" formatCode="0.0000">
                  <c:v>45.109651850701241</c:v>
                </c:pt>
                <c:pt idx="70" formatCode="0.0000">
                  <c:v>45.099787226357556</c:v>
                </c:pt>
                <c:pt idx="71" formatCode="0.0000">
                  <c:v>45.089843986091402</c:v>
                </c:pt>
                <c:pt idx="72" formatCode="0.0000">
                  <c:v>45.079821836866657</c:v>
                </c:pt>
                <c:pt idx="73" formatCode="0.0000">
                  <c:v>45.069720482483945</c:v>
                </c:pt>
                <c:pt idx="74" formatCode="0.0000">
                  <c:v>45.059539623549853</c:v>
                </c:pt>
                <c:pt idx="75" formatCode="0.0000">
                  <c:v>45.049278957445537</c:v>
                </c:pt>
                <c:pt idx="76" formatCode="0.0000">
                  <c:v>45.038938178295133</c:v>
                </c:pt>
                <c:pt idx="77" formatCode="0.0000">
                  <c:v>45.02851697693329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F9-4E37-BF15-8C5971C69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672768"/>
        <c:axId val="612667968"/>
      </c:lineChart>
      <c:catAx>
        <c:axId val="6126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67968"/>
        <c:crosses val="autoZero"/>
        <c:auto val="1"/>
        <c:lblAlgn val="ctr"/>
        <c:lblOffset val="100"/>
        <c:noMultiLvlLbl val="0"/>
      </c:catAx>
      <c:valAx>
        <c:axId val="612667968"/>
        <c:scaling>
          <c:orientation val="minMax"/>
          <c:max val="49"/>
          <c:min val="3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softEdge rad="381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ayout>
        <c:manualLayout>
          <c:xMode val="edge"/>
          <c:yMode val="edge"/>
          <c:x val="0.51598099417900634"/>
          <c:y val="0.49970809513536835"/>
          <c:w val="0.15083027531394641"/>
          <c:h val="0.21261550354150935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Solar angle = 5 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765310586176726E-2"/>
          <c:y val="0.12616422947131609"/>
          <c:w val="0.89715726159230103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Challenge11d!$E$1</c:f>
              <c:strCache>
                <c:ptCount val="1"/>
                <c:pt idx="0">
                  <c:v>Prim Red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Challenge11d!$E$2:$E$74</c:f>
              <c:numCache>
                <c:formatCode>General</c:formatCode>
                <c:ptCount val="73"/>
                <c:pt idx="0">
                  <c:v>-46.999999999999993</c:v>
                </c:pt>
                <c:pt idx="1">
                  <c:v>-46.787322751445465</c:v>
                </c:pt>
                <c:pt idx="2">
                  <c:v>-46.155859371647033</c:v>
                </c:pt>
                <c:pt idx="3">
                  <c:v>-45.12440114277328</c:v>
                </c:pt>
                <c:pt idx="4">
                  <c:v>-43.721507364434629</c:v>
                </c:pt>
                <c:pt idx="5">
                  <c:v>-41.982218134501785</c:v>
                </c:pt>
                <c:pt idx="6">
                  <c:v>-39.944728495473576</c:v>
                </c:pt>
                <c:pt idx="7">
                  <c:v>-37.647608199524356</c:v>
                </c:pt>
                <c:pt idx="8">
                  <c:v>-35.127830408633756</c:v>
                </c:pt>
                <c:pt idx="9">
                  <c:v>-32.419604545089321</c:v>
                </c:pt>
                <c:pt idx="10">
                  <c:v>-29.553860101005501</c:v>
                </c:pt>
                <c:pt idx="11">
                  <c:v>-26.558186016898251</c:v>
                </c:pt>
                <c:pt idx="12">
                  <c:v>-23.457050565098651</c:v>
                </c:pt>
                <c:pt idx="13">
                  <c:v>-20.272170569799922</c:v>
                </c:pt>
                <c:pt idx="14">
                  <c:v>-17.02294318924119</c:v>
                </c:pt>
                <c:pt idx="15">
                  <c:v>-13.726888874909916</c:v>
                </c:pt>
                <c:pt idx="16">
                  <c:v>-10.400078861033252</c:v>
                </c:pt>
                <c:pt idx="17">
                  <c:v>-7.0575362951052236</c:v>
                </c:pt>
                <c:pt idx="18">
                  <c:v>-3.7136093463064306</c:v>
                </c:pt>
                <c:pt idx="19">
                  <c:v>-0.3823194698531816</c:v>
                </c:pt>
                <c:pt idx="20">
                  <c:v>2.9223100016568284</c:v>
                </c:pt>
                <c:pt idx="21">
                  <c:v>6.1859396796417121</c:v>
                </c:pt>
                <c:pt idx="22">
                  <c:v>9.3936104460681822</c:v>
                </c:pt>
                <c:pt idx="23">
                  <c:v>12.529449081532814</c:v>
                </c:pt>
                <c:pt idx="24">
                  <c:v>15.576386235933873</c:v>
                </c:pt>
                <c:pt idx="25">
                  <c:v>18.515895945672305</c:v>
                </c:pt>
                <c:pt idx="26">
                  <c:v>21.327774413268216</c:v>
                </c:pt>
                <c:pt idx="27">
                  <c:v>23.989986862945813</c:v>
                </c:pt>
                <c:pt idx="28">
                  <c:v>26.478624569944216</c:v>
                </c:pt>
                <c:pt idx="29">
                  <c:v>28.768027903104478</c:v>
                </c:pt>
                <c:pt idx="30">
                  <c:v>30.831141486113125</c:v>
                </c:pt>
                <c:pt idx="31">
                  <c:v>32.640167566648799</c:v>
                </c:pt>
                <c:pt idx="32">
                  <c:v>34.167564148222525</c:v>
                </c:pt>
                <c:pt idx="33">
                  <c:v>35.387386606330011</c:v>
                </c:pt>
                <c:pt idx="34">
                  <c:v>36.276893258479724</c:v>
                </c:pt>
                <c:pt idx="35">
                  <c:v>36.818239210837568</c:v>
                </c:pt>
                <c:pt idx="36">
                  <c:v>37</c:v>
                </c:pt>
                <c:pt idx="37">
                  <c:v>36.818239210837568</c:v>
                </c:pt>
                <c:pt idx="38">
                  <c:v>36.276893258479724</c:v>
                </c:pt>
                <c:pt idx="39">
                  <c:v>35.387386606330011</c:v>
                </c:pt>
                <c:pt idx="40">
                  <c:v>34.167564148222525</c:v>
                </c:pt>
                <c:pt idx="41">
                  <c:v>32.640167566648799</c:v>
                </c:pt>
                <c:pt idx="42">
                  <c:v>30.831141486113125</c:v>
                </c:pt>
                <c:pt idx="43">
                  <c:v>28.768027903104478</c:v>
                </c:pt>
                <c:pt idx="44">
                  <c:v>26.478624569944216</c:v>
                </c:pt>
                <c:pt idx="45">
                  <c:v>23.989986862945813</c:v>
                </c:pt>
                <c:pt idx="46">
                  <c:v>21.327774413268216</c:v>
                </c:pt>
                <c:pt idx="47">
                  <c:v>18.515895945672305</c:v>
                </c:pt>
                <c:pt idx="48">
                  <c:v>15.576386235933873</c:v>
                </c:pt>
                <c:pt idx="49">
                  <c:v>12.529449081532814</c:v>
                </c:pt>
                <c:pt idx="50">
                  <c:v>9.3936104460681822</c:v>
                </c:pt>
                <c:pt idx="51">
                  <c:v>6.1859396796417121</c:v>
                </c:pt>
                <c:pt idx="52">
                  <c:v>2.9223100016568284</c:v>
                </c:pt>
                <c:pt idx="53">
                  <c:v>-0.3823194698531816</c:v>
                </c:pt>
                <c:pt idx="54">
                  <c:v>-3.7136093463064306</c:v>
                </c:pt>
                <c:pt idx="55">
                  <c:v>-7.0575362951052236</c:v>
                </c:pt>
                <c:pt idx="56">
                  <c:v>-10.400078861033252</c:v>
                </c:pt>
                <c:pt idx="57">
                  <c:v>-13.726888874909916</c:v>
                </c:pt>
                <c:pt idx="58">
                  <c:v>-17.02294318924119</c:v>
                </c:pt>
                <c:pt idx="59">
                  <c:v>-20.272170569799922</c:v>
                </c:pt>
                <c:pt idx="60">
                  <c:v>-23.457050565098651</c:v>
                </c:pt>
                <c:pt idx="61">
                  <c:v>-26.558186016898251</c:v>
                </c:pt>
                <c:pt idx="62">
                  <c:v>-29.553860101005501</c:v>
                </c:pt>
                <c:pt idx="63">
                  <c:v>-32.419604545089321</c:v>
                </c:pt>
                <c:pt idx="64">
                  <c:v>-35.127830408633756</c:v>
                </c:pt>
                <c:pt idx="65">
                  <c:v>-37.647608199524356</c:v>
                </c:pt>
                <c:pt idx="66">
                  <c:v>-39.944728495473576</c:v>
                </c:pt>
                <c:pt idx="67">
                  <c:v>-41.982218134501785</c:v>
                </c:pt>
                <c:pt idx="68">
                  <c:v>-43.721507364434629</c:v>
                </c:pt>
                <c:pt idx="69">
                  <c:v>-45.12440114277328</c:v>
                </c:pt>
                <c:pt idx="70">
                  <c:v>-46.155859371647033</c:v>
                </c:pt>
                <c:pt idx="71">
                  <c:v>-46.787322751445465</c:v>
                </c:pt>
                <c:pt idx="72">
                  <c:v>-46.999999999999993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B-4810-8A3F-EB1B367BF6B1}"/>
            </c:ext>
          </c:extLst>
        </c:ser>
        <c:ser>
          <c:idx val="1"/>
          <c:order val="1"/>
          <c:tx>
            <c:strRef>
              <c:f>Challenge11d!$F$1</c:f>
              <c:strCache>
                <c:ptCount val="1"/>
                <c:pt idx="0">
                  <c:v>Prim Orange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Challenge11d!$F$2:$F$74</c:f>
              <c:numCache>
                <c:formatCode>General</c:formatCode>
                <c:ptCount val="73"/>
                <c:pt idx="0">
                  <c:v>-46.199999999999996</c:v>
                </c:pt>
                <c:pt idx="1">
                  <c:v>-45.993686768464535</c:v>
                </c:pt>
                <c:pt idx="2">
                  <c:v>-45.380850771879622</c:v>
                </c:pt>
                <c:pt idx="3">
                  <c:v>-44.378992844282998</c:v>
                </c:pt>
                <c:pt idx="4">
                  <c:v>-43.014823655214478</c:v>
                </c:pt>
                <c:pt idx="5">
                  <c:v>-41.321306634299631</c:v>
                </c:pt>
                <c:pt idx="6">
                  <c:v>-39.334623397028373</c:v>
                </c:pt>
                <c:pt idx="7">
                  <c:v>-37.091588080293668</c:v>
                </c:pt>
                <c:pt idx="8">
                  <c:v>-34.627766291620567</c:v>
                </c:pt>
                <c:pt idx="9">
                  <c:v>-31.976317740381724</c:v>
                </c:pt>
                <c:pt idx="10">
                  <c:v>-29.167442092088759</c:v>
                </c:pt>
                <c:pt idx="11">
                  <c:v>-26.228260204974941</c:v>
                </c:pt>
                <c:pt idx="12">
                  <c:v>-23.182973501527556</c:v>
                </c:pt>
                <c:pt idx="13">
                  <c:v>-20.053179410758432</c:v>
                </c:pt>
                <c:pt idx="14">
                  <c:v>-16.858259323535904</c:v>
                </c:pt>
                <c:pt idx="15">
                  <c:v>-13.615787627475669</c:v>
                </c:pt>
                <c:pt idx="16">
                  <c:v>-10.341933658697942</c:v>
                </c:pt>
                <c:pt idx="17">
                  <c:v>-7.0518437201144444</c:v>
                </c:pt>
                <c:pt idx="18">
                  <c:v>-3.7599995848175478</c:v>
                </c:pt>
                <c:pt idx="19">
                  <c:v>-0.48055496495664429</c:v>
                </c:pt>
                <c:pt idx="20">
                  <c:v>2.7723463371631776</c:v>
                </c:pt>
                <c:pt idx="21">
                  <c:v>5.9842665858944537</c:v>
                </c:pt>
                <c:pt idx="22">
                  <c:v>9.1401817639171163</c:v>
                </c:pt>
                <c:pt idx="23">
                  <c:v>12.224200477093214</c:v>
                </c:pt>
                <c:pt idx="24">
                  <c:v>15.21929795310346</c:v>
                </c:pt>
                <c:pt idx="25">
                  <c:v>18.107074861374251</c:v>
                </c:pt>
                <c:pt idx="26">
                  <c:v>20.867558684451847</c:v>
                </c:pt>
                <c:pt idx="27">
                  <c:v>23.479075574339447</c:v>
                </c:pt>
                <c:pt idx="28">
                  <c:v>25.918232479145107</c:v>
                </c:pt>
                <c:pt idx="29">
                  <c:v>28.160061026814461</c:v>
                </c:pt>
                <c:pt idx="30">
                  <c:v>30.17838244724495</c:v>
                </c:pt>
                <c:pt idx="31">
                  <c:v>31.94645055179522</c:v>
                </c:pt>
                <c:pt idx="32">
                  <c:v>33.437909554160171</c:v>
                </c:pt>
                <c:pt idx="33">
                  <c:v>34.628058372541979</c:v>
                </c:pt>
                <c:pt idx="34">
                  <c:v>35.495342416583448</c:v>
                </c:pt>
                <c:pt idx="35">
                  <c:v>36.02290990550825</c:v>
                </c:pt>
                <c:pt idx="36">
                  <c:v>36.200000000000003</c:v>
                </c:pt>
                <c:pt idx="37">
                  <c:v>36.02290990550825</c:v>
                </c:pt>
                <c:pt idx="38">
                  <c:v>35.495342416583448</c:v>
                </c:pt>
                <c:pt idx="39">
                  <c:v>34.628058372541979</c:v>
                </c:pt>
                <c:pt idx="40">
                  <c:v>33.437909554160171</c:v>
                </c:pt>
                <c:pt idx="41">
                  <c:v>31.94645055179522</c:v>
                </c:pt>
                <c:pt idx="42">
                  <c:v>30.17838244724495</c:v>
                </c:pt>
                <c:pt idx="43">
                  <c:v>28.160061026814461</c:v>
                </c:pt>
                <c:pt idx="44">
                  <c:v>25.918232479145107</c:v>
                </c:pt>
                <c:pt idx="45">
                  <c:v>23.479075574339447</c:v>
                </c:pt>
                <c:pt idx="46">
                  <c:v>20.867558684451847</c:v>
                </c:pt>
                <c:pt idx="47">
                  <c:v>18.107074861374251</c:v>
                </c:pt>
                <c:pt idx="48">
                  <c:v>15.21929795310346</c:v>
                </c:pt>
                <c:pt idx="49">
                  <c:v>12.224200477093214</c:v>
                </c:pt>
                <c:pt idx="50">
                  <c:v>9.1401817639171163</c:v>
                </c:pt>
                <c:pt idx="51">
                  <c:v>5.9842665858944537</c:v>
                </c:pt>
                <c:pt idx="52">
                  <c:v>2.7723463371631776</c:v>
                </c:pt>
                <c:pt idx="53">
                  <c:v>-0.48055496495664429</c:v>
                </c:pt>
                <c:pt idx="54">
                  <c:v>-3.7599995848175478</c:v>
                </c:pt>
                <c:pt idx="55">
                  <c:v>-7.0518437201144444</c:v>
                </c:pt>
                <c:pt idx="56">
                  <c:v>-10.341933658697942</c:v>
                </c:pt>
                <c:pt idx="57">
                  <c:v>-13.615787627475669</c:v>
                </c:pt>
                <c:pt idx="58">
                  <c:v>-16.858259323535904</c:v>
                </c:pt>
                <c:pt idx="59">
                  <c:v>-20.053179410758432</c:v>
                </c:pt>
                <c:pt idx="60">
                  <c:v>-23.182973501527556</c:v>
                </c:pt>
                <c:pt idx="61">
                  <c:v>-26.228260204974941</c:v>
                </c:pt>
                <c:pt idx="62">
                  <c:v>-29.167442092088759</c:v>
                </c:pt>
                <c:pt idx="63">
                  <c:v>-31.976317740381724</c:v>
                </c:pt>
                <c:pt idx="64">
                  <c:v>-34.627766291620567</c:v>
                </c:pt>
                <c:pt idx="65">
                  <c:v>-37.091588080293668</c:v>
                </c:pt>
                <c:pt idx="66">
                  <c:v>-39.334623397028373</c:v>
                </c:pt>
                <c:pt idx="67">
                  <c:v>-41.321306634299631</c:v>
                </c:pt>
                <c:pt idx="68">
                  <c:v>-43.014823655214478</c:v>
                </c:pt>
                <c:pt idx="69">
                  <c:v>-44.378992844282998</c:v>
                </c:pt>
                <c:pt idx="70">
                  <c:v>-45.380850771879622</c:v>
                </c:pt>
                <c:pt idx="71">
                  <c:v>-45.993686768464535</c:v>
                </c:pt>
                <c:pt idx="72">
                  <c:v>-46.199999999999996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B-4810-8A3F-EB1B367BF6B1}"/>
            </c:ext>
          </c:extLst>
        </c:ser>
        <c:ser>
          <c:idx val="2"/>
          <c:order val="2"/>
          <c:tx>
            <c:strRef>
              <c:f>Challenge11d!$G$1</c:f>
              <c:strCache>
                <c:ptCount val="1"/>
                <c:pt idx="0">
                  <c:v>Prim Yellow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Challenge11d!$G$2:$G$74</c:f>
              <c:numCache>
                <c:formatCode>General</c:formatCode>
                <c:ptCount val="73"/>
                <c:pt idx="0">
                  <c:v>-45.999999999999993</c:v>
                </c:pt>
                <c:pt idx="1">
                  <c:v>-45.795249145273019</c:v>
                </c:pt>
                <c:pt idx="2">
                  <c:v>-45.186989852392081</c:v>
                </c:pt>
                <c:pt idx="3">
                  <c:v>-44.192415597534932</c:v>
                </c:pt>
                <c:pt idx="4">
                  <c:v>-42.837794841995191</c:v>
                </c:pt>
                <c:pt idx="5">
                  <c:v>-41.155591214781587</c:v>
                </c:pt>
                <c:pt idx="6">
                  <c:v>-39.181498056648095</c:v>
                </c:pt>
                <c:pt idx="7">
                  <c:v>-36.951899968880433</c:v>
                </c:pt>
                <c:pt idx="8">
                  <c:v>-34.502014706379668</c:v>
                </c:pt>
                <c:pt idx="9">
                  <c:v>-31.864739556348674</c:v>
                </c:pt>
                <c:pt idx="10">
                  <c:v>-29.070089178236369</c:v>
                </c:pt>
                <c:pt idx="11">
                  <c:v>-26.145063538922678</c:v>
                </c:pt>
                <c:pt idx="12">
                  <c:v>-23.113793019736111</c:v>
                </c:pt>
                <c:pt idx="13">
                  <c:v>-19.997840934580161</c:v>
                </c:pt>
                <c:pt idx="14">
                  <c:v>-16.81658079082969</c:v>
                </c:pt>
                <c:pt idx="15">
                  <c:v>-13.587596935139375</c:v>
                </c:pt>
                <c:pt idx="16">
                  <c:v>-10.327080111655027</c:v>
                </c:pt>
                <c:pt idx="17">
                  <c:v>-7.0502046395276583</c:v>
                </c:pt>
                <c:pt idx="18">
                  <c:v>-3.7714831786158962</c:v>
                </c:pt>
                <c:pt idx="19">
                  <c:v>-0.50510015721307133</c:v>
                </c:pt>
                <c:pt idx="20">
                  <c:v>2.734772774213674</c:v>
                </c:pt>
                <c:pt idx="21">
                  <c:v>5.933675558301938</c:v>
                </c:pt>
                <c:pt idx="22">
                  <c:v>9.0765702681487621</c:v>
                </c:pt>
                <c:pt idx="23">
                  <c:v>12.147563355941445</c:v>
                </c:pt>
                <c:pt idx="24">
                  <c:v>15.129643639999239</c:v>
                </c:pt>
                <c:pt idx="25">
                  <c:v>18.004445870747595</c:v>
                </c:pt>
                <c:pt idx="26">
                  <c:v>20.752057587841804</c:v>
                </c:pt>
                <c:pt idx="27">
                  <c:v>23.350896960885908</c:v>
                </c:pt>
                <c:pt idx="28">
                  <c:v>25.777700809663543</c:v>
                </c:pt>
                <c:pt idx="29">
                  <c:v>28.007673217036306</c:v>
                </c:pt>
                <c:pt idx="30">
                  <c:v>30.014852372348074</c:v>
                </c:pt>
                <c:pt idx="31">
                  <c:v>31.772750527753978</c:v>
                </c:pt>
                <c:pt idx="32">
                  <c:v>33.255301609120608</c:v>
                </c:pt>
                <c:pt idx="33">
                  <c:v>34.438106577242031</c:v>
                </c:pt>
                <c:pt idx="34">
                  <c:v>35.299897824878656</c:v>
                </c:pt>
                <c:pt idx="35">
                  <c:v>35.824062770018614</c:v>
                </c:pt>
                <c:pt idx="36">
                  <c:v>36</c:v>
                </c:pt>
                <c:pt idx="37">
                  <c:v>35.824062770018614</c:v>
                </c:pt>
                <c:pt idx="38">
                  <c:v>35.299897824878656</c:v>
                </c:pt>
                <c:pt idx="39">
                  <c:v>34.438106577242031</c:v>
                </c:pt>
                <c:pt idx="40">
                  <c:v>33.255301609120608</c:v>
                </c:pt>
                <c:pt idx="41">
                  <c:v>31.772750527753978</c:v>
                </c:pt>
                <c:pt idx="42">
                  <c:v>30.014852372348074</c:v>
                </c:pt>
                <c:pt idx="43">
                  <c:v>28.007673217036306</c:v>
                </c:pt>
                <c:pt idx="44">
                  <c:v>25.777700809663543</c:v>
                </c:pt>
                <c:pt idx="45">
                  <c:v>23.350896960885908</c:v>
                </c:pt>
                <c:pt idx="46">
                  <c:v>20.752057587841804</c:v>
                </c:pt>
                <c:pt idx="47">
                  <c:v>18.004445870747595</c:v>
                </c:pt>
                <c:pt idx="48">
                  <c:v>15.129643639999239</c:v>
                </c:pt>
                <c:pt idx="49">
                  <c:v>12.147563355941445</c:v>
                </c:pt>
                <c:pt idx="50">
                  <c:v>9.0765702681487621</c:v>
                </c:pt>
                <c:pt idx="51">
                  <c:v>5.933675558301938</c:v>
                </c:pt>
                <c:pt idx="52">
                  <c:v>2.734772774213674</c:v>
                </c:pt>
                <c:pt idx="53">
                  <c:v>-0.50510015721307133</c:v>
                </c:pt>
                <c:pt idx="54">
                  <c:v>-3.7714831786158962</c:v>
                </c:pt>
                <c:pt idx="55">
                  <c:v>-7.0502046395276583</c:v>
                </c:pt>
                <c:pt idx="56">
                  <c:v>-10.327080111655027</c:v>
                </c:pt>
                <c:pt idx="57">
                  <c:v>-13.587596935139375</c:v>
                </c:pt>
                <c:pt idx="58">
                  <c:v>-16.81658079082969</c:v>
                </c:pt>
                <c:pt idx="59">
                  <c:v>-19.997840934580161</c:v>
                </c:pt>
                <c:pt idx="60">
                  <c:v>-23.113793019736111</c:v>
                </c:pt>
                <c:pt idx="61">
                  <c:v>-26.145063538922678</c:v>
                </c:pt>
                <c:pt idx="62">
                  <c:v>-29.070089178236369</c:v>
                </c:pt>
                <c:pt idx="63">
                  <c:v>-31.864739556348674</c:v>
                </c:pt>
                <c:pt idx="64">
                  <c:v>-34.502014706379668</c:v>
                </c:pt>
                <c:pt idx="65">
                  <c:v>-36.951899968880433</c:v>
                </c:pt>
                <c:pt idx="66">
                  <c:v>-39.181498056648095</c:v>
                </c:pt>
                <c:pt idx="67">
                  <c:v>-41.155591214781587</c:v>
                </c:pt>
                <c:pt idx="68">
                  <c:v>-42.837794841995191</c:v>
                </c:pt>
                <c:pt idx="69">
                  <c:v>-44.192415597534932</c:v>
                </c:pt>
                <c:pt idx="70">
                  <c:v>-45.186989852392081</c:v>
                </c:pt>
                <c:pt idx="71">
                  <c:v>-45.795249145273019</c:v>
                </c:pt>
                <c:pt idx="72">
                  <c:v>-45.999999999999993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3B-4810-8A3F-EB1B367BF6B1}"/>
            </c:ext>
          </c:extLst>
        </c:ser>
        <c:ser>
          <c:idx val="3"/>
          <c:order val="3"/>
          <c:tx>
            <c:strRef>
              <c:f>Challenge11d!$H$1</c:f>
              <c:strCache>
                <c:ptCount val="1"/>
                <c:pt idx="0">
                  <c:v>Prim Green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Challenge11d!$H$2:$H$74</c:f>
              <c:numCache>
                <c:formatCode>General</c:formatCode>
                <c:ptCount val="73"/>
                <c:pt idx="0">
                  <c:v>-45.7</c:v>
                </c:pt>
                <c:pt idx="1">
                  <c:v>-45.497571888198429</c:v>
                </c:pt>
                <c:pt idx="2">
                  <c:v>-44.896119276548475</c:v>
                </c:pt>
                <c:pt idx="3">
                  <c:v>-43.912385511657654</c:v>
                </c:pt>
                <c:pt idx="4">
                  <c:v>-42.57199008987218</c:v>
                </c:pt>
                <c:pt idx="5">
                  <c:v>-40.906660991437391</c:v>
                </c:pt>
                <c:pt idx="6">
                  <c:v>-38.951370228786679</c:v>
                </c:pt>
                <c:pt idx="7">
                  <c:v>-36.74186512394764</c:v>
                </c:pt>
                <c:pt idx="8">
                  <c:v>-34.312844820691325</c:v>
                </c:pt>
                <c:pt idx="9">
                  <c:v>-31.696813173592219</c:v>
                </c:pt>
                <c:pt idx="10">
                  <c:v>-28.923505610593434</c:v>
                </c:pt>
                <c:pt idx="11">
                  <c:v>-26.019738010418877</c:v>
                </c:pt>
                <c:pt idx="12">
                  <c:v>-23.009531051709558</c:v>
                </c:pt>
                <c:pt idx="13">
                  <c:v>-19.914393739008982</c:v>
                </c:pt>
                <c:pt idx="14">
                  <c:v>-16.753684827585626</c:v>
                </c:pt>
                <c:pt idx="15">
                  <c:v>-13.545000964164261</c:v>
                </c:pt>
                <c:pt idx="16">
                  <c:v>-10.304562656274022</c:v>
                </c:pt>
                <c:pt idx="17">
                  <c:v>-7.0475841480780126</c:v>
                </c:pt>
                <c:pt idx="18">
                  <c:v>-3.7886225196228547</c:v>
                </c:pt>
                <c:pt idx="19">
                  <c:v>-0.54190648734820845</c:v>
                </c:pt>
                <c:pt idx="20">
                  <c:v>2.6783522506797386</c:v>
                </c:pt>
                <c:pt idx="21">
                  <c:v>5.8576618709902357</c:v>
                </c:pt>
                <c:pt idx="22">
                  <c:v>8.980965328661787</c:v>
                </c:pt>
                <c:pt idx="23">
                  <c:v>12.032367637151674</c:v>
                </c:pt>
                <c:pt idx="24">
                  <c:v>14.994879820998429</c:v>
                </c:pt>
                <c:pt idx="25">
                  <c:v>17.850189538438638</c:v>
                </c:pt>
                <c:pt idx="26">
                  <c:v>20.57847604400861</c:v>
                </c:pt>
                <c:pt idx="27">
                  <c:v>23.158296807670474</c:v>
                </c:pt>
                <c:pt idx="28">
                  <c:v>25.566584095763368</c:v>
                </c:pt>
                <c:pt idx="29">
                  <c:v>27.77880032951888</c:v>
                </c:pt>
                <c:pt idx="30">
                  <c:v>29.769307441650266</c:v>
                </c:pt>
                <c:pt idx="31">
                  <c:v>31.512002004630617</c:v>
                </c:pt>
                <c:pt idx="32">
                  <c:v>32.981247451943915</c:v>
                </c:pt>
                <c:pt idx="33">
                  <c:v>34.153091329156133</c:v>
                </c:pt>
                <c:pt idx="34">
                  <c:v>35.006689381523195</c:v>
                </c:pt>
                <c:pt idx="35">
                  <c:v>35.525781253840194</c:v>
                </c:pt>
                <c:pt idx="36">
                  <c:v>35.700000000000003</c:v>
                </c:pt>
                <c:pt idx="37">
                  <c:v>35.525781253840194</c:v>
                </c:pt>
                <c:pt idx="38">
                  <c:v>35.006689381523195</c:v>
                </c:pt>
                <c:pt idx="39">
                  <c:v>34.153091329156133</c:v>
                </c:pt>
                <c:pt idx="40">
                  <c:v>32.981247451943915</c:v>
                </c:pt>
                <c:pt idx="41">
                  <c:v>31.512002004630617</c:v>
                </c:pt>
                <c:pt idx="42">
                  <c:v>29.769307441650266</c:v>
                </c:pt>
                <c:pt idx="43">
                  <c:v>27.77880032951888</c:v>
                </c:pt>
                <c:pt idx="44">
                  <c:v>25.566584095763368</c:v>
                </c:pt>
                <c:pt idx="45">
                  <c:v>23.158296807670474</c:v>
                </c:pt>
                <c:pt idx="46">
                  <c:v>20.57847604400861</c:v>
                </c:pt>
                <c:pt idx="47">
                  <c:v>17.850189538438638</c:v>
                </c:pt>
                <c:pt idx="48">
                  <c:v>14.994879820998429</c:v>
                </c:pt>
                <c:pt idx="49">
                  <c:v>12.032367637151674</c:v>
                </c:pt>
                <c:pt idx="50">
                  <c:v>8.980965328661787</c:v>
                </c:pt>
                <c:pt idx="51">
                  <c:v>5.8576618709902357</c:v>
                </c:pt>
                <c:pt idx="52">
                  <c:v>2.6783522506797386</c:v>
                </c:pt>
                <c:pt idx="53">
                  <c:v>-0.54190648734820845</c:v>
                </c:pt>
                <c:pt idx="54">
                  <c:v>-3.7886225196228547</c:v>
                </c:pt>
                <c:pt idx="55">
                  <c:v>-7.0475841480780126</c:v>
                </c:pt>
                <c:pt idx="56">
                  <c:v>-10.304562656274022</c:v>
                </c:pt>
                <c:pt idx="57">
                  <c:v>-13.545000964164261</c:v>
                </c:pt>
                <c:pt idx="58">
                  <c:v>-16.753684827585626</c:v>
                </c:pt>
                <c:pt idx="59">
                  <c:v>-19.914393739008982</c:v>
                </c:pt>
                <c:pt idx="60">
                  <c:v>-23.009531051709558</c:v>
                </c:pt>
                <c:pt idx="61">
                  <c:v>-26.019738010418877</c:v>
                </c:pt>
                <c:pt idx="62">
                  <c:v>-28.923505610593434</c:v>
                </c:pt>
                <c:pt idx="63">
                  <c:v>-31.696813173592219</c:v>
                </c:pt>
                <c:pt idx="64">
                  <c:v>-34.312844820691325</c:v>
                </c:pt>
                <c:pt idx="65">
                  <c:v>-36.74186512394764</c:v>
                </c:pt>
                <c:pt idx="66">
                  <c:v>-38.951370228786679</c:v>
                </c:pt>
                <c:pt idx="67">
                  <c:v>-40.906660991437391</c:v>
                </c:pt>
                <c:pt idx="68">
                  <c:v>-42.57199008987218</c:v>
                </c:pt>
                <c:pt idx="69">
                  <c:v>-43.912385511657654</c:v>
                </c:pt>
                <c:pt idx="70">
                  <c:v>-44.896119276548475</c:v>
                </c:pt>
                <c:pt idx="71">
                  <c:v>-45.497571888198429</c:v>
                </c:pt>
                <c:pt idx="72">
                  <c:v>-45.7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3B-4810-8A3F-EB1B367BF6B1}"/>
            </c:ext>
          </c:extLst>
        </c:ser>
        <c:ser>
          <c:idx val="4"/>
          <c:order val="4"/>
          <c:tx>
            <c:strRef>
              <c:f>Challenge11d!$I$1</c:f>
              <c:strCache>
                <c:ptCount val="1"/>
                <c:pt idx="0">
                  <c:v>Prim Cyan</c:v>
                </c:pt>
              </c:strCache>
            </c:strRef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val>
            <c:numRef>
              <c:f>Challenge11d!$I$2:$I$74</c:f>
              <c:numCache>
                <c:formatCode>General</c:formatCode>
                <c:ptCount val="73"/>
                <c:pt idx="0">
                  <c:v>-45.5</c:v>
                </c:pt>
                <c:pt idx="1">
                  <c:v>-45.299106727080677</c:v>
                </c:pt>
                <c:pt idx="2">
                  <c:v>-44.702153589525771</c:v>
                </c:pt>
                <c:pt idx="3">
                  <c:v>-43.725590936411209</c:v>
                </c:pt>
                <c:pt idx="4">
                  <c:v>-42.394614973722163</c:v>
                </c:pt>
                <c:pt idx="5">
                  <c:v>-40.740472451997078</c:v>
                </c:pt>
                <c:pt idx="6">
                  <c:v>-38.797661805154327</c:v>
                </c:pt>
                <c:pt idx="7">
                  <c:v>-36.601510181108829</c:v>
                </c:pt>
                <c:pt idx="8">
                  <c:v>-34.186373141339089</c:v>
                </c:pt>
                <c:pt idx="9">
                  <c:v>-31.584492453001591</c:v>
                </c:pt>
                <c:pt idx="10">
                  <c:v>-28.825416307657115</c:v>
                </c:pt>
                <c:pt idx="11">
                  <c:v>-25.935836078345762</c:v>
                </c:pt>
                <c:pt idx="12">
                  <c:v>-22.939697252562059</c:v>
                </c:pt>
                <c:pt idx="13">
                  <c:v>-19.858470560550433</c:v>
                </c:pt>
                <c:pt idx="14">
                  <c:v>-16.711502982725346</c:v>
                </c:pt>
                <c:pt idx="15">
                  <c:v>-13.516397609328665</c:v>
                </c:pt>
                <c:pt idx="16">
                  <c:v>-10.289393221081731</c:v>
                </c:pt>
                <c:pt idx="17">
                  <c:v>-7.0457292725295932</c:v>
                </c:pt>
                <c:pt idx="18">
                  <c:v>-3.799991175476515</c:v>
                </c:pt>
                <c:pt idx="19">
                  <c:v>-0.56643597237810561</c:v>
                </c:pt>
                <c:pt idx="20">
                  <c:v>2.6406990979700611</c:v>
                </c:pt>
                <c:pt idx="21">
                  <c:v>5.8069021851216034</c:v>
                </c:pt>
                <c:pt idx="22">
                  <c:v>8.9171046663930067</c:v>
                </c:pt>
                <c:pt idx="23">
                  <c:v>11.955411790148148</c:v>
                </c:pt>
                <c:pt idx="24">
                  <c:v>14.904850593260042</c:v>
                </c:pt>
                <c:pt idx="25">
                  <c:v>17.74714518562234</c:v>
                </c:pt>
                <c:pt idx="26">
                  <c:v>20.462537033847124</c:v>
                </c:pt>
                <c:pt idx="27">
                  <c:v>23.029677301072624</c:v>
                </c:pt>
                <c:pt idx="28">
                  <c:v>25.425628950821633</c:v>
                </c:pt>
                <c:pt idx="29">
                  <c:v>27.626026375065866</c:v>
                </c:pt>
                <c:pt idx="30">
                  <c:v>29.605446187620384</c:v>
                </c:pt>
                <c:pt idx="31">
                  <c:v>31.338038947187218</c:v>
                </c:pt>
                <c:pt idx="32">
                  <c:v>32.79845107730857</c:v>
                </c:pt>
                <c:pt idx="33">
                  <c:v>33.963023581520396</c:v>
                </c:pt>
                <c:pt idx="34">
                  <c:v>34.811189768904775</c:v>
                </c:pt>
                <c:pt idx="35">
                  <c:v>35.326919803875199</c:v>
                </c:pt>
                <c:pt idx="36">
                  <c:v>35.5</c:v>
                </c:pt>
                <c:pt idx="37">
                  <c:v>35.326919803875199</c:v>
                </c:pt>
                <c:pt idx="38">
                  <c:v>34.811189768904775</c:v>
                </c:pt>
                <c:pt idx="39">
                  <c:v>33.963023581520396</c:v>
                </c:pt>
                <c:pt idx="40">
                  <c:v>32.79845107730857</c:v>
                </c:pt>
                <c:pt idx="41">
                  <c:v>31.338038947187218</c:v>
                </c:pt>
                <c:pt idx="42">
                  <c:v>29.605446187620384</c:v>
                </c:pt>
                <c:pt idx="43">
                  <c:v>27.626026375065866</c:v>
                </c:pt>
                <c:pt idx="44">
                  <c:v>25.425628950821633</c:v>
                </c:pt>
                <c:pt idx="45">
                  <c:v>23.029677301072624</c:v>
                </c:pt>
                <c:pt idx="46">
                  <c:v>20.462537033847124</c:v>
                </c:pt>
                <c:pt idx="47">
                  <c:v>17.74714518562234</c:v>
                </c:pt>
                <c:pt idx="48">
                  <c:v>14.904850593260042</c:v>
                </c:pt>
                <c:pt idx="49">
                  <c:v>11.955411790148148</c:v>
                </c:pt>
                <c:pt idx="50">
                  <c:v>8.9171046663930067</c:v>
                </c:pt>
                <c:pt idx="51">
                  <c:v>5.8069021851216034</c:v>
                </c:pt>
                <c:pt idx="52">
                  <c:v>2.6406990979700611</c:v>
                </c:pt>
                <c:pt idx="53">
                  <c:v>-0.56643597237810561</c:v>
                </c:pt>
                <c:pt idx="54">
                  <c:v>-3.799991175476515</c:v>
                </c:pt>
                <c:pt idx="55">
                  <c:v>-7.0457292725295932</c:v>
                </c:pt>
                <c:pt idx="56">
                  <c:v>-10.289393221081731</c:v>
                </c:pt>
                <c:pt idx="57">
                  <c:v>-13.516397609328665</c:v>
                </c:pt>
                <c:pt idx="58">
                  <c:v>-16.711502982725346</c:v>
                </c:pt>
                <c:pt idx="59">
                  <c:v>-19.858470560550433</c:v>
                </c:pt>
                <c:pt idx="60">
                  <c:v>-22.939697252562059</c:v>
                </c:pt>
                <c:pt idx="61">
                  <c:v>-25.935836078345762</c:v>
                </c:pt>
                <c:pt idx="62">
                  <c:v>-28.825416307657115</c:v>
                </c:pt>
                <c:pt idx="63">
                  <c:v>-31.584492453001591</c:v>
                </c:pt>
                <c:pt idx="64">
                  <c:v>-34.186373141339089</c:v>
                </c:pt>
                <c:pt idx="65">
                  <c:v>-36.601510181108829</c:v>
                </c:pt>
                <c:pt idx="66">
                  <c:v>-38.797661805154327</c:v>
                </c:pt>
                <c:pt idx="67">
                  <c:v>-40.740472451997078</c:v>
                </c:pt>
                <c:pt idx="68">
                  <c:v>-42.394614973722163</c:v>
                </c:pt>
                <c:pt idx="69">
                  <c:v>-43.725590936411209</c:v>
                </c:pt>
                <c:pt idx="70">
                  <c:v>-44.702153589525771</c:v>
                </c:pt>
                <c:pt idx="71">
                  <c:v>-45.299106727080677</c:v>
                </c:pt>
                <c:pt idx="72">
                  <c:v>-45.5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3B-4810-8A3F-EB1B367BF6B1}"/>
            </c:ext>
          </c:extLst>
        </c:ser>
        <c:ser>
          <c:idx val="5"/>
          <c:order val="5"/>
          <c:tx>
            <c:strRef>
              <c:f>Challenge11d!$J$1</c:f>
              <c:strCache>
                <c:ptCount val="1"/>
                <c:pt idx="0">
                  <c:v>Prim Blue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Challenge11d!$J$2:$J$74</c:f>
              <c:numCache>
                <c:formatCode>General</c:formatCode>
                <c:ptCount val="73"/>
                <c:pt idx="0">
                  <c:v>-45.20000000000001</c:v>
                </c:pt>
                <c:pt idx="1">
                  <c:v>-45.001388878388035</c:v>
                </c:pt>
                <c:pt idx="2">
                  <c:v>-44.411128494372747</c:v>
                </c:pt>
                <c:pt idx="3">
                  <c:v>-43.445240030528396</c:v>
                </c:pt>
                <c:pt idx="4">
                  <c:v>-42.128298432684346</c:v>
                </c:pt>
                <c:pt idx="5">
                  <c:v>-40.490842132569014</c:v>
                </c:pt>
                <c:pt idx="6">
                  <c:v>-38.566670015758611</c:v>
                </c:pt>
                <c:pt idx="7">
                  <c:v>-36.390485976613824</c:v>
                </c:pt>
                <c:pt idx="8">
                  <c:v>-33.996133516389307</c:v>
                </c:pt>
                <c:pt idx="9">
                  <c:v>-31.415461684385487</c:v>
                </c:pt>
                <c:pt idx="10">
                  <c:v>-28.677736305935547</c:v>
                </c:pt>
                <c:pt idx="11">
                  <c:v>-25.809459416616587</c:v>
                </c:pt>
                <c:pt idx="12">
                  <c:v>-22.834460698221452</c:v>
                </c:pt>
                <c:pt idx="13">
                  <c:v>-19.774150407476785</c:v>
                </c:pt>
                <c:pt idx="14">
                  <c:v>-16.64785497205845</c:v>
                </c:pt>
                <c:pt idx="15">
                  <c:v>-13.473184517555634</c:v>
                </c:pt>
                <c:pt idx="16">
                  <c:v>-10.266402875805213</c:v>
                </c:pt>
                <c:pt idx="17">
                  <c:v>-7.0427851964215016</c:v>
                </c:pt>
                <c:pt idx="18">
                  <c:v>-3.8169574522864362</c:v>
                </c:pt>
                <c:pt idx="19">
                  <c:v>-0.60321736115638447</c:v>
                </c:pt>
                <c:pt idx="20">
                  <c:v>2.5841612768617281</c:v>
                </c:pt>
                <c:pt idx="21">
                  <c:v>5.7306383067370792</c:v>
                </c:pt>
                <c:pt idx="22">
                  <c:v>8.8211294960085489</c:v>
                </c:pt>
                <c:pt idx="23">
                  <c:v>11.839742235473347</c:v>
                </c:pt>
                <c:pt idx="24">
                  <c:v>14.769529383499814</c:v>
                </c:pt>
                <c:pt idx="25">
                  <c:v>17.592271478075478</c:v>
                </c:pt>
                <c:pt idx="26">
                  <c:v>20.288304877618589</c:v>
                </c:pt>
                <c:pt idx="27">
                  <c:v>22.836422485419682</c:v>
                </c:pt>
                <c:pt idx="28">
                  <c:v>25.213883865343277</c:v>
                </c:pt>
                <c:pt idx="29">
                  <c:v>27.396580940724132</c:v>
                </c:pt>
                <c:pt idx="30">
                  <c:v>29.359410597120849</c:v>
                </c:pt>
                <c:pt idx="31">
                  <c:v>31.076901032702359</c:v>
                </c:pt>
                <c:pt idx="32">
                  <c:v>32.524118177533502</c:v>
                </c:pt>
                <c:pt idx="33">
                  <c:v>33.677836916283646</c:v>
                </c:pt>
                <c:pt idx="34">
                  <c:v>34.517900026574026</c:v>
                </c:pt>
                <c:pt idx="35">
                  <c:v>35.028617143344142</c:v>
                </c:pt>
                <c:pt idx="36">
                  <c:v>35.20000000000001</c:v>
                </c:pt>
                <c:pt idx="37">
                  <c:v>35.028617143344142</c:v>
                </c:pt>
                <c:pt idx="38">
                  <c:v>34.517900026574026</c:v>
                </c:pt>
                <c:pt idx="39">
                  <c:v>33.677836916283646</c:v>
                </c:pt>
                <c:pt idx="40">
                  <c:v>32.524118177533502</c:v>
                </c:pt>
                <c:pt idx="41">
                  <c:v>31.076901032702359</c:v>
                </c:pt>
                <c:pt idx="42">
                  <c:v>29.359410597120849</c:v>
                </c:pt>
                <c:pt idx="43">
                  <c:v>27.396580940724132</c:v>
                </c:pt>
                <c:pt idx="44">
                  <c:v>25.213883865343277</c:v>
                </c:pt>
                <c:pt idx="45">
                  <c:v>22.836422485419682</c:v>
                </c:pt>
                <c:pt idx="46">
                  <c:v>20.288304877618589</c:v>
                </c:pt>
                <c:pt idx="47">
                  <c:v>17.592271478075478</c:v>
                </c:pt>
                <c:pt idx="48">
                  <c:v>14.769529383499814</c:v>
                </c:pt>
                <c:pt idx="49">
                  <c:v>11.839742235473347</c:v>
                </c:pt>
                <c:pt idx="50">
                  <c:v>8.8211294960085489</c:v>
                </c:pt>
                <c:pt idx="51">
                  <c:v>5.7306383067370792</c:v>
                </c:pt>
                <c:pt idx="52">
                  <c:v>2.5841612768617281</c:v>
                </c:pt>
                <c:pt idx="53">
                  <c:v>-0.60321736115638447</c:v>
                </c:pt>
                <c:pt idx="54">
                  <c:v>-3.8169574522864362</c:v>
                </c:pt>
                <c:pt idx="55">
                  <c:v>-7.0427851964215016</c:v>
                </c:pt>
                <c:pt idx="56">
                  <c:v>-10.266402875805213</c:v>
                </c:pt>
                <c:pt idx="57">
                  <c:v>-13.473184517555634</c:v>
                </c:pt>
                <c:pt idx="58">
                  <c:v>-16.64785497205845</c:v>
                </c:pt>
                <c:pt idx="59">
                  <c:v>-19.774150407476785</c:v>
                </c:pt>
                <c:pt idx="60">
                  <c:v>-22.834460698221452</c:v>
                </c:pt>
                <c:pt idx="61">
                  <c:v>-25.809459416616587</c:v>
                </c:pt>
                <c:pt idx="62">
                  <c:v>-28.677736305935547</c:v>
                </c:pt>
                <c:pt idx="63">
                  <c:v>-31.415461684385487</c:v>
                </c:pt>
                <c:pt idx="64">
                  <c:v>-33.996133516389307</c:v>
                </c:pt>
                <c:pt idx="65">
                  <c:v>-36.390485976613824</c:v>
                </c:pt>
                <c:pt idx="66">
                  <c:v>-38.566670015758611</c:v>
                </c:pt>
                <c:pt idx="67">
                  <c:v>-40.490842132569014</c:v>
                </c:pt>
                <c:pt idx="68">
                  <c:v>-42.128298432684346</c:v>
                </c:pt>
                <c:pt idx="69">
                  <c:v>-43.445240030528396</c:v>
                </c:pt>
                <c:pt idx="70">
                  <c:v>-44.411128494372747</c:v>
                </c:pt>
                <c:pt idx="71">
                  <c:v>-45.001388878388035</c:v>
                </c:pt>
                <c:pt idx="72">
                  <c:v>-45.20000000000001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3B-4810-8A3F-EB1B367BF6B1}"/>
            </c:ext>
          </c:extLst>
        </c:ser>
        <c:ser>
          <c:idx val="6"/>
          <c:order val="6"/>
          <c:tx>
            <c:strRef>
              <c:f>Challenge11d!$K$1</c:f>
              <c:strCache>
                <c:ptCount val="1"/>
                <c:pt idx="0">
                  <c:v>Prim Violet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Challenge11d!$K$2:$K$74</c:f>
              <c:numCache>
                <c:formatCode>General</c:formatCode>
                <c:ptCount val="73"/>
                <c:pt idx="0">
                  <c:v>-45</c:v>
                </c:pt>
                <c:pt idx="1">
                  <c:v>-44.802897123437106</c:v>
                </c:pt>
                <c:pt idx="2">
                  <c:v>-44.217061515418933</c:v>
                </c:pt>
                <c:pt idx="3">
                  <c:v>-43.258234962437001</c:v>
                </c:pt>
                <c:pt idx="4">
                  <c:v>-41.950587152647103</c:v>
                </c:pt>
                <c:pt idx="5">
                  <c:v>-40.324193162821864</c:v>
                </c:pt>
                <c:pt idx="6">
                  <c:v>-38.412392643516583</c:v>
                </c:pt>
                <c:pt idx="7">
                  <c:v>-36.249478650381796</c:v>
                </c:pt>
                <c:pt idx="8">
                  <c:v>-33.86895556158867</c:v>
                </c:pt>
                <c:pt idx="9">
                  <c:v>-31.302410953223369</c:v>
                </c:pt>
                <c:pt idx="10">
                  <c:v>-28.578921462448985</c:v>
                </c:pt>
                <c:pt idx="11">
                  <c:v>-25.724861233392591</c:v>
                </c:pt>
                <c:pt idx="12">
                  <c:v>-22.763980769319346</c:v>
                </c:pt>
                <c:pt idx="13">
                  <c:v>-19.717647993499146</c:v>
                </c:pt>
                <c:pt idx="14">
                  <c:v>-16.605173716675861</c:v>
                </c:pt>
                <c:pt idx="15">
                  <c:v>-13.444171004593766</c:v>
                </c:pt>
                <c:pt idx="16">
                  <c:v>-10.250918814752261</c:v>
                </c:pt>
                <c:pt idx="17">
                  <c:v>-7.0407146736293686</c:v>
                </c:pt>
                <c:pt idx="18">
                  <c:v>-3.8282102958392206</c:v>
                </c:pt>
                <c:pt idx="19">
                  <c:v>-0.62772929852587456</c:v>
                </c:pt>
                <c:pt idx="20">
                  <c:v>2.5464313181000549</c:v>
                </c:pt>
                <c:pt idx="21">
                  <c:v>5.6797136923560458</c:v>
                </c:pt>
                <c:pt idx="22">
                  <c:v>8.7570243595650741</c:v>
                </c:pt>
                <c:pt idx="23">
                  <c:v>11.762473331472837</c:v>
                </c:pt>
                <c:pt idx="24">
                  <c:v>14.679131877259417</c:v>
                </c:pt>
                <c:pt idx="25">
                  <c:v>17.48881930956631</c:v>
                </c:pt>
                <c:pt idx="26">
                  <c:v>20.17193628000917</c:v>
                </c:pt>
                <c:pt idx="27">
                  <c:v>22.707370963088032</c:v>
                </c:pt>
                <c:pt idx="28">
                  <c:v>25.072514333723547</c:v>
                </c:pt>
                <c:pt idx="29">
                  <c:v>27.243429695587633</c:v>
                </c:pt>
                <c:pt idx="30">
                  <c:v>29.195226266496913</c:v>
                </c:pt>
                <c:pt idx="31">
                  <c:v>30.90268177900321</c:v>
                </c:pt>
                <c:pt idx="32">
                  <c:v>32.341138541009492</c:v>
                </c:pt>
                <c:pt idx="33">
                  <c:v>33.487656540518437</c:v>
                </c:pt>
                <c:pt idx="34">
                  <c:v>34.322347023600123</c:v>
                </c:pt>
                <c:pt idx="35">
                  <c:v>34.829741811906217</c:v>
                </c:pt>
                <c:pt idx="36">
                  <c:v>35</c:v>
                </c:pt>
                <c:pt idx="37">
                  <c:v>34.829741811906217</c:v>
                </c:pt>
                <c:pt idx="38">
                  <c:v>34.322347023600123</c:v>
                </c:pt>
                <c:pt idx="39">
                  <c:v>33.487656540518437</c:v>
                </c:pt>
                <c:pt idx="40">
                  <c:v>32.341138541009492</c:v>
                </c:pt>
                <c:pt idx="41">
                  <c:v>30.90268177900321</c:v>
                </c:pt>
                <c:pt idx="42">
                  <c:v>29.195226266496913</c:v>
                </c:pt>
                <c:pt idx="43">
                  <c:v>27.243429695587633</c:v>
                </c:pt>
                <c:pt idx="44">
                  <c:v>25.072514333723547</c:v>
                </c:pt>
                <c:pt idx="45">
                  <c:v>22.707370963088032</c:v>
                </c:pt>
                <c:pt idx="46">
                  <c:v>20.17193628000917</c:v>
                </c:pt>
                <c:pt idx="47">
                  <c:v>17.48881930956631</c:v>
                </c:pt>
                <c:pt idx="48">
                  <c:v>14.679131877259417</c:v>
                </c:pt>
                <c:pt idx="49">
                  <c:v>11.762473331472837</c:v>
                </c:pt>
                <c:pt idx="50">
                  <c:v>8.7570243595650741</c:v>
                </c:pt>
                <c:pt idx="51">
                  <c:v>5.6797136923560458</c:v>
                </c:pt>
                <c:pt idx="52">
                  <c:v>2.5464313181000549</c:v>
                </c:pt>
                <c:pt idx="53">
                  <c:v>-0.62772929852587456</c:v>
                </c:pt>
                <c:pt idx="54">
                  <c:v>-3.8282102958392206</c:v>
                </c:pt>
                <c:pt idx="55">
                  <c:v>-7.0407146736293686</c:v>
                </c:pt>
                <c:pt idx="56">
                  <c:v>-10.250918814752261</c:v>
                </c:pt>
                <c:pt idx="57">
                  <c:v>-13.444171004593766</c:v>
                </c:pt>
                <c:pt idx="58">
                  <c:v>-16.605173716675861</c:v>
                </c:pt>
                <c:pt idx="59">
                  <c:v>-19.717647993499146</c:v>
                </c:pt>
                <c:pt idx="60">
                  <c:v>-22.763980769319346</c:v>
                </c:pt>
                <c:pt idx="61">
                  <c:v>-25.724861233392591</c:v>
                </c:pt>
                <c:pt idx="62">
                  <c:v>-28.578921462448985</c:v>
                </c:pt>
                <c:pt idx="63">
                  <c:v>-31.302410953223369</c:v>
                </c:pt>
                <c:pt idx="64">
                  <c:v>-33.86895556158867</c:v>
                </c:pt>
                <c:pt idx="65">
                  <c:v>-36.249478650381796</c:v>
                </c:pt>
                <c:pt idx="66">
                  <c:v>-38.412392643516583</c:v>
                </c:pt>
                <c:pt idx="67">
                  <c:v>-40.324193162821864</c:v>
                </c:pt>
                <c:pt idx="68">
                  <c:v>-41.950587152647103</c:v>
                </c:pt>
                <c:pt idx="69">
                  <c:v>-43.258234962437001</c:v>
                </c:pt>
                <c:pt idx="70">
                  <c:v>-44.217061515418933</c:v>
                </c:pt>
                <c:pt idx="71">
                  <c:v>-44.802897123437106</c:v>
                </c:pt>
                <c:pt idx="72">
                  <c:v>-45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3B-4810-8A3F-EB1B367BF6B1}"/>
            </c:ext>
          </c:extLst>
        </c:ser>
        <c:ser>
          <c:idx val="8"/>
          <c:order val="8"/>
          <c:tx>
            <c:strRef>
              <c:f>Challenge11d!$M$1</c:f>
              <c:strCache>
                <c:ptCount val="1"/>
                <c:pt idx="0">
                  <c:v>Sec Red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Challenge11d!$M$2:$M$74</c:f>
              <c:numCache>
                <c:formatCode>General</c:formatCode>
                <c:ptCount val="73"/>
                <c:pt idx="0">
                  <c:v>-55.000000000000007</c:v>
                </c:pt>
                <c:pt idx="1">
                  <c:v>-54.710959410055253</c:v>
                </c:pt>
                <c:pt idx="2">
                  <c:v>-53.858061241359259</c:v>
                </c:pt>
                <c:pt idx="3">
                  <c:v>-52.480775754132651</c:v>
                </c:pt>
                <c:pt idx="4">
                  <c:v>-50.635771946825656</c:v>
                </c:pt>
                <c:pt idx="5">
                  <c:v>-48.387459825787424</c:v>
                </c:pt>
                <c:pt idx="6">
                  <c:v>-45.80012177264117</c:v>
                </c:pt>
                <c:pt idx="7">
                  <c:v>-42.932920147011572</c:v>
                </c:pt>
                <c:pt idx="8">
                  <c:v>-39.837595123495845</c:v>
                </c:pt>
                <c:pt idx="9">
                  <c:v>-36.558028199277778</c:v>
                </c:pt>
                <c:pt idx="10">
                  <c:v>-33.130837993328065</c:v>
                </c:pt>
                <c:pt idx="11">
                  <c:v>-29.586414190908194</c:v>
                </c:pt>
                <c:pt idx="12">
                  <c:v>-25.950044841326452</c:v>
                </c:pt>
                <c:pt idx="13">
                  <c:v>-22.242970226504877</c:v>
                </c:pt>
                <c:pt idx="14">
                  <c:v>-18.483301668746158</c:v>
                </c:pt>
                <c:pt idx="15">
                  <c:v>-14.686797754314549</c:v>
                </c:pt>
                <c:pt idx="16">
                  <c:v>-10.867514539413209</c:v>
                </c:pt>
                <c:pt idx="17">
                  <c:v>-7.0383547119255843</c:v>
                </c:pt>
                <c:pt idx="18">
                  <c:v>-3.2115417642271766</c:v>
                </c:pt>
                <c:pt idx="19">
                  <c:v>0.60095661200725758</c:v>
                </c:pt>
                <c:pt idx="20">
                  <c:v>4.3870343770144844</c:v>
                </c:pt>
                <c:pt idx="21">
                  <c:v>8.134063398651568</c:v>
                </c:pt>
                <c:pt idx="22">
                  <c:v>11.82850386171947</c:v>
                </c:pt>
                <c:pt idx="23">
                  <c:v>15.455495429675267</c:v>
                </c:pt>
                <c:pt idx="24">
                  <c:v>18.998419654338587</c:v>
                </c:pt>
                <c:pt idx="25">
                  <c:v>22.438430378457689</c:v>
                </c:pt>
                <c:pt idx="26">
                  <c:v>25.75395945188794</c:v>
                </c:pt>
                <c:pt idx="27">
                  <c:v>28.920222726524134</c:v>
                </c:pt>
                <c:pt idx="28">
                  <c:v>31.908779297803008</c:v>
                </c:pt>
                <c:pt idx="29">
                  <c:v>34.687238077652957</c:v>
                </c:pt>
                <c:pt idx="30">
                  <c:v>37.219259402438084</c:v>
                </c:pt>
                <c:pt idx="31">
                  <c:v>39.465056013562254</c:v>
                </c:pt>
                <c:pt idx="32">
                  <c:v>41.382631359758534</c:v>
                </c:pt>
                <c:pt idx="33">
                  <c:v>42.929956398889985</c:v>
                </c:pt>
                <c:pt idx="34">
                  <c:v>44.068121205963088</c:v>
                </c:pt>
                <c:pt idx="35">
                  <c:v>44.765178904214864</c:v>
                </c:pt>
                <c:pt idx="36">
                  <c:v>45.000000000000007</c:v>
                </c:pt>
                <c:pt idx="37">
                  <c:v>44.765178904214864</c:v>
                </c:pt>
                <c:pt idx="38">
                  <c:v>44.068121205963088</c:v>
                </c:pt>
                <c:pt idx="39">
                  <c:v>42.929956398889985</c:v>
                </c:pt>
                <c:pt idx="40">
                  <c:v>41.382631359758534</c:v>
                </c:pt>
                <c:pt idx="41">
                  <c:v>39.465056013562254</c:v>
                </c:pt>
                <c:pt idx="42">
                  <c:v>37.219259402438084</c:v>
                </c:pt>
                <c:pt idx="43">
                  <c:v>34.687238077652957</c:v>
                </c:pt>
                <c:pt idx="44">
                  <c:v>31.908779297803008</c:v>
                </c:pt>
                <c:pt idx="45">
                  <c:v>28.920222726524134</c:v>
                </c:pt>
                <c:pt idx="46">
                  <c:v>25.75395945188794</c:v>
                </c:pt>
                <c:pt idx="47">
                  <c:v>22.438430378457689</c:v>
                </c:pt>
                <c:pt idx="48">
                  <c:v>18.998419654338587</c:v>
                </c:pt>
                <c:pt idx="49">
                  <c:v>15.455495429675267</c:v>
                </c:pt>
                <c:pt idx="50">
                  <c:v>11.82850386171947</c:v>
                </c:pt>
                <c:pt idx="51">
                  <c:v>8.134063398651568</c:v>
                </c:pt>
                <c:pt idx="52">
                  <c:v>4.3870343770144844</c:v>
                </c:pt>
                <c:pt idx="53">
                  <c:v>0.60095661200725758</c:v>
                </c:pt>
                <c:pt idx="54">
                  <c:v>-3.2115417642271766</c:v>
                </c:pt>
                <c:pt idx="55">
                  <c:v>-7.0383547119255843</c:v>
                </c:pt>
                <c:pt idx="56">
                  <c:v>-10.867514539413209</c:v>
                </c:pt>
                <c:pt idx="57">
                  <c:v>-14.686797754314549</c:v>
                </c:pt>
                <c:pt idx="58">
                  <c:v>-18.483301668746158</c:v>
                </c:pt>
                <c:pt idx="59">
                  <c:v>-22.242970226504877</c:v>
                </c:pt>
                <c:pt idx="60">
                  <c:v>-25.950044841326452</c:v>
                </c:pt>
                <c:pt idx="61">
                  <c:v>-29.586414190908194</c:v>
                </c:pt>
                <c:pt idx="62">
                  <c:v>-33.130837993328065</c:v>
                </c:pt>
                <c:pt idx="63">
                  <c:v>-36.558028199277778</c:v>
                </c:pt>
                <c:pt idx="64">
                  <c:v>-39.837595123495845</c:v>
                </c:pt>
                <c:pt idx="65">
                  <c:v>-42.932920147011572</c:v>
                </c:pt>
                <c:pt idx="66">
                  <c:v>-45.80012177264117</c:v>
                </c:pt>
                <c:pt idx="67">
                  <c:v>-48.387459825787424</c:v>
                </c:pt>
                <c:pt idx="68">
                  <c:v>-50.635771946825656</c:v>
                </c:pt>
                <c:pt idx="69">
                  <c:v>-52.480775754132651</c:v>
                </c:pt>
                <c:pt idx="70">
                  <c:v>-53.858061241359259</c:v>
                </c:pt>
                <c:pt idx="71">
                  <c:v>-54.710959410055253</c:v>
                </c:pt>
                <c:pt idx="72">
                  <c:v>-55.000000000000007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3B-4810-8A3F-EB1B367BF6B1}"/>
            </c:ext>
          </c:extLst>
        </c:ser>
        <c:ser>
          <c:idx val="9"/>
          <c:order val="9"/>
          <c:tx>
            <c:strRef>
              <c:f>Challenge11d!$N$1</c:f>
              <c:strCache>
                <c:ptCount val="1"/>
                <c:pt idx="0">
                  <c:v>Sec Orange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Challenge11d!$N$2:$N$74</c:f>
              <c:numCache>
                <c:formatCode>General</c:formatCode>
                <c:ptCount val="73"/>
                <c:pt idx="0">
                  <c:v>-55.5</c:v>
                </c:pt>
                <c:pt idx="1">
                  <c:v>-55.205209581088788</c:v>
                </c:pt>
                <c:pt idx="2">
                  <c:v>-54.335810285721394</c:v>
                </c:pt>
                <c:pt idx="3">
                  <c:v>-52.93324239156388</c:v>
                </c:pt>
                <c:pt idx="4">
                  <c:v>-51.056723092941404</c:v>
                </c:pt>
                <c:pt idx="5">
                  <c:v>-48.773143767146699</c:v>
                </c:pt>
                <c:pt idx="6">
                  <c:v>-46.148803850267065</c:v>
                </c:pt>
                <c:pt idx="7">
                  <c:v>-43.244296202860248</c:v>
                </c:pt>
                <c:pt idx="8">
                  <c:v>-40.112259552570023</c:v>
                </c:pt>
                <c:pt idx="9">
                  <c:v>-36.797065909028539</c:v>
                </c:pt>
                <c:pt idx="10">
                  <c:v>-33.335542847437104</c:v>
                </c:pt>
                <c:pt idx="11">
                  <c:v>-29.758109168245067</c:v>
                </c:pt>
                <c:pt idx="12">
                  <c:v>-26.089974570880816</c:v>
                </c:pt>
                <c:pt idx="13">
                  <c:v>-22.352241237697999</c:v>
                </c:pt>
                <c:pt idx="14">
                  <c:v>-18.562852406995926</c:v>
                </c:pt>
                <c:pt idx="15">
                  <c:v>-14.737386306649013</c:v>
                </c:pt>
                <c:pt idx="16">
                  <c:v>-10.889716408051713</c:v>
                </c:pt>
                <c:pt idx="17">
                  <c:v>-7.0325660082111892</c:v>
                </c:pt>
                <c:pt idx="18">
                  <c:v>-3.1779852281008751</c:v>
                </c:pt>
                <c:pt idx="19">
                  <c:v>0.66222398772917512</c:v>
                </c:pt>
                <c:pt idx="20">
                  <c:v>4.4761123521522288</c:v>
                </c:pt>
                <c:pt idx="21">
                  <c:v>8.2511975552224666</c:v>
                </c:pt>
                <c:pt idx="22">
                  <c:v>11.974071405230669</c:v>
                </c:pt>
                <c:pt idx="23">
                  <c:v>15.62998553923936</c:v>
                </c:pt>
                <c:pt idx="24">
                  <c:v>19.202405176189703</c:v>
                </c:pt>
                <c:pt idx="25">
                  <c:v>22.67252642007012</c:v>
                </c:pt>
                <c:pt idx="26">
                  <c:v>26.018763030996279</c:v>
                </c:pt>
                <c:pt idx="27">
                  <c:v>29.216226300434517</c:v>
                </c:pt>
                <c:pt idx="28">
                  <c:v>32.236250338431105</c:v>
                </c:pt>
                <c:pt idx="29">
                  <c:v>35.046058035991344</c:v>
                </c:pt>
                <c:pt idx="30">
                  <c:v>37.608720323472099</c:v>
                </c:pt>
                <c:pt idx="31">
                  <c:v>39.883624112378826</c:v>
                </c:pt>
                <c:pt idx="32">
                  <c:v>41.827705680134798</c:v>
                </c:pt>
                <c:pt idx="33">
                  <c:v>43.397675253336715</c:v>
                </c:pt>
                <c:pt idx="34">
                  <c:v>44.553290087596039</c:v>
                </c:pt>
                <c:pt idx="35">
                  <c:v>45.261393519561651</c:v>
                </c:pt>
                <c:pt idx="36">
                  <c:v>45.5</c:v>
                </c:pt>
                <c:pt idx="37">
                  <c:v>45.261393519561651</c:v>
                </c:pt>
                <c:pt idx="38">
                  <c:v>44.553290087596039</c:v>
                </c:pt>
                <c:pt idx="39">
                  <c:v>43.397675253336715</c:v>
                </c:pt>
                <c:pt idx="40">
                  <c:v>41.827705680134798</c:v>
                </c:pt>
                <c:pt idx="41">
                  <c:v>39.883624112378826</c:v>
                </c:pt>
                <c:pt idx="42">
                  <c:v>37.608720323472099</c:v>
                </c:pt>
                <c:pt idx="43">
                  <c:v>35.046058035991344</c:v>
                </c:pt>
                <c:pt idx="44">
                  <c:v>32.236250338431105</c:v>
                </c:pt>
                <c:pt idx="45">
                  <c:v>29.216226300434517</c:v>
                </c:pt>
                <c:pt idx="46">
                  <c:v>26.018763030996279</c:v>
                </c:pt>
                <c:pt idx="47">
                  <c:v>22.67252642007012</c:v>
                </c:pt>
                <c:pt idx="48">
                  <c:v>19.202405176189703</c:v>
                </c:pt>
                <c:pt idx="49">
                  <c:v>15.62998553923936</c:v>
                </c:pt>
                <c:pt idx="50">
                  <c:v>11.974071405230669</c:v>
                </c:pt>
                <c:pt idx="51">
                  <c:v>8.2511975552224666</c:v>
                </c:pt>
                <c:pt idx="52">
                  <c:v>4.4761123521522288</c:v>
                </c:pt>
                <c:pt idx="53">
                  <c:v>0.66222398772917512</c:v>
                </c:pt>
                <c:pt idx="54">
                  <c:v>-3.1779852281008751</c:v>
                </c:pt>
                <c:pt idx="55">
                  <c:v>-7.0325660082111892</c:v>
                </c:pt>
                <c:pt idx="56">
                  <c:v>-10.889716408051713</c:v>
                </c:pt>
                <c:pt idx="57">
                  <c:v>-14.737386306649013</c:v>
                </c:pt>
                <c:pt idx="58">
                  <c:v>-18.562852406995926</c:v>
                </c:pt>
                <c:pt idx="59">
                  <c:v>-22.352241237697999</c:v>
                </c:pt>
                <c:pt idx="60">
                  <c:v>-26.089974570880816</c:v>
                </c:pt>
                <c:pt idx="61">
                  <c:v>-29.758109168245067</c:v>
                </c:pt>
                <c:pt idx="62">
                  <c:v>-33.335542847437104</c:v>
                </c:pt>
                <c:pt idx="63">
                  <c:v>-36.797065909028539</c:v>
                </c:pt>
                <c:pt idx="64">
                  <c:v>-40.112259552570023</c:v>
                </c:pt>
                <c:pt idx="65">
                  <c:v>-43.244296202860248</c:v>
                </c:pt>
                <c:pt idx="66">
                  <c:v>-46.148803850267065</c:v>
                </c:pt>
                <c:pt idx="67">
                  <c:v>-48.773143767146699</c:v>
                </c:pt>
                <c:pt idx="68">
                  <c:v>-51.056723092941404</c:v>
                </c:pt>
                <c:pt idx="69">
                  <c:v>-52.93324239156388</c:v>
                </c:pt>
                <c:pt idx="70">
                  <c:v>-54.335810285721394</c:v>
                </c:pt>
                <c:pt idx="71">
                  <c:v>-55.205209581088788</c:v>
                </c:pt>
                <c:pt idx="72">
                  <c:v>-55.5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3B-4810-8A3F-EB1B367BF6B1}"/>
            </c:ext>
          </c:extLst>
        </c:ser>
        <c:ser>
          <c:idx val="10"/>
          <c:order val="10"/>
          <c:tx>
            <c:strRef>
              <c:f>Challenge11d!$O$1</c:f>
              <c:strCache>
                <c:ptCount val="1"/>
                <c:pt idx="0">
                  <c:v>Sec Yellow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Challenge11d!$O$2:$O$74</c:f>
              <c:numCache>
                <c:formatCode>General</c:formatCode>
                <c:ptCount val="73"/>
                <c:pt idx="0">
                  <c:v>-55.999999999999993</c:v>
                </c:pt>
                <c:pt idx="1">
                  <c:v>-55.699314356532554</c:v>
                </c:pt>
                <c:pt idx="2">
                  <c:v>-54.813023979452936</c:v>
                </c:pt>
                <c:pt idx="3">
                  <c:v>-53.384651904327612</c:v>
                </c:pt>
                <c:pt idx="4">
                  <c:v>-51.476087573268529</c:v>
                </c:pt>
                <c:pt idx="5">
                  <c:v>-49.15679546819085</c:v>
                </c:pt>
                <c:pt idx="6">
                  <c:v>-46.495137985217688</c:v>
                </c:pt>
                <c:pt idx="7">
                  <c:v>-43.553147134783472</c:v>
                </c:pt>
                <c:pt idx="8">
                  <c:v>-40.384346994139648</c:v>
                </c:pt>
                <c:pt idx="9">
                  <c:v>-37.033577911293563</c:v>
                </c:pt>
                <c:pt idx="10">
                  <c:v>-33.537853132042848</c:v>
                </c:pt>
                <c:pt idx="11">
                  <c:v>-29.927599897637954</c:v>
                </c:pt>
                <c:pt idx="12">
                  <c:v>-26.227932686696452</c:v>
                </c:pt>
                <c:pt idx="13">
                  <c:v>-22.459802439346628</c:v>
                </c:pt>
                <c:pt idx="14">
                  <c:v>-18.64097431200145</c:v>
                </c:pt>
                <c:pt idx="15">
                  <c:v>-14.78683861409699</c:v>
                </c:pt>
                <c:pt idx="16">
                  <c:v>-10.911080444334138</c:v>
                </c:pt>
                <c:pt idx="17">
                  <c:v>-7.0262391207532522</c:v>
                </c:pt>
                <c:pt idx="18">
                  <c:v>-3.1441875266357155</c:v>
                </c:pt>
                <c:pt idx="19">
                  <c:v>0.72344168688953558</c:v>
                </c:pt>
                <c:pt idx="20">
                  <c:v>4.5648595595493715</c:v>
                </c:pt>
                <c:pt idx="21">
                  <c:v>8.367733518879291</c:v>
                </c:pt>
                <c:pt idx="22">
                  <c:v>12.118791542874083</c:v>
                </c:pt>
                <c:pt idx="23">
                  <c:v>15.803402685011108</c:v>
                </c:pt>
                <c:pt idx="24">
                  <c:v>19.405122391723744</c:v>
                </c:pt>
                <c:pt idx="25">
                  <c:v>22.905196831167714</c:v>
                </c:pt>
                <c:pt idx="26">
                  <c:v>26.282030650619529</c:v>
                </c:pt>
                <c:pt idx="27">
                  <c:v>29.510640308940459</c:v>
                </c:pt>
                <c:pt idx="28">
                  <c:v>32.562144400745694</c:v>
                </c:pt>
                <c:pt idx="29">
                  <c:v>35.403387141933329</c:v>
                </c:pt>
                <c:pt idx="30">
                  <c:v>37.996852358296181</c:v>
                </c:pt>
                <c:pt idx="31">
                  <c:v>40.301094551981116</c:v>
                </c:pt>
                <c:pt idx="32">
                  <c:v>42.271963485300304</c:v>
                </c:pt>
                <c:pt idx="33">
                  <c:v>43.86487453690323</c:v>
                </c:pt>
                <c:pt idx="34">
                  <c:v>45.03820578607148</c:v>
                </c:pt>
                <c:pt idx="35">
                  <c:v>45.757541127000366</c:v>
                </c:pt>
                <c:pt idx="36">
                  <c:v>46</c:v>
                </c:pt>
                <c:pt idx="37">
                  <c:v>45.757541127000366</c:v>
                </c:pt>
                <c:pt idx="38">
                  <c:v>45.03820578607148</c:v>
                </c:pt>
                <c:pt idx="39">
                  <c:v>43.86487453690323</c:v>
                </c:pt>
                <c:pt idx="40">
                  <c:v>42.271963485300304</c:v>
                </c:pt>
                <c:pt idx="41">
                  <c:v>40.301094551981116</c:v>
                </c:pt>
                <c:pt idx="42">
                  <c:v>37.996852358296181</c:v>
                </c:pt>
                <c:pt idx="43">
                  <c:v>35.403387141933329</c:v>
                </c:pt>
                <c:pt idx="44">
                  <c:v>32.562144400745694</c:v>
                </c:pt>
                <c:pt idx="45">
                  <c:v>29.510640308940459</c:v>
                </c:pt>
                <c:pt idx="46">
                  <c:v>26.282030650619529</c:v>
                </c:pt>
                <c:pt idx="47">
                  <c:v>22.905196831167714</c:v>
                </c:pt>
                <c:pt idx="48">
                  <c:v>19.405122391723744</c:v>
                </c:pt>
                <c:pt idx="49">
                  <c:v>15.803402685011108</c:v>
                </c:pt>
                <c:pt idx="50">
                  <c:v>12.118791542874083</c:v>
                </c:pt>
                <c:pt idx="51">
                  <c:v>8.367733518879291</c:v>
                </c:pt>
                <c:pt idx="52">
                  <c:v>4.5648595595493715</c:v>
                </c:pt>
                <c:pt idx="53">
                  <c:v>0.72344168688953558</c:v>
                </c:pt>
                <c:pt idx="54">
                  <c:v>-3.1441875266357155</c:v>
                </c:pt>
                <c:pt idx="55">
                  <c:v>-7.0262391207532522</c:v>
                </c:pt>
                <c:pt idx="56">
                  <c:v>-10.911080444334138</c:v>
                </c:pt>
                <c:pt idx="57">
                  <c:v>-14.78683861409699</c:v>
                </c:pt>
                <c:pt idx="58">
                  <c:v>-18.64097431200145</c:v>
                </c:pt>
                <c:pt idx="59">
                  <c:v>-22.459802439346628</c:v>
                </c:pt>
                <c:pt idx="60">
                  <c:v>-26.227932686696452</c:v>
                </c:pt>
                <c:pt idx="61">
                  <c:v>-29.927599897637954</c:v>
                </c:pt>
                <c:pt idx="62">
                  <c:v>-33.537853132042848</c:v>
                </c:pt>
                <c:pt idx="63">
                  <c:v>-37.033577911293563</c:v>
                </c:pt>
                <c:pt idx="64">
                  <c:v>-40.384346994139648</c:v>
                </c:pt>
                <c:pt idx="65">
                  <c:v>-43.553147134783472</c:v>
                </c:pt>
                <c:pt idx="66">
                  <c:v>-46.495137985217688</c:v>
                </c:pt>
                <c:pt idx="67">
                  <c:v>-49.15679546819085</c:v>
                </c:pt>
                <c:pt idx="68">
                  <c:v>-51.476087573268529</c:v>
                </c:pt>
                <c:pt idx="69">
                  <c:v>-53.384651904327612</c:v>
                </c:pt>
                <c:pt idx="70">
                  <c:v>-54.813023979452936</c:v>
                </c:pt>
                <c:pt idx="71">
                  <c:v>-55.699314356532554</c:v>
                </c:pt>
                <c:pt idx="72">
                  <c:v>-55.999999999999993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3B-4810-8A3F-EB1B367BF6B1}"/>
            </c:ext>
          </c:extLst>
        </c:ser>
        <c:ser>
          <c:idx val="11"/>
          <c:order val="11"/>
          <c:tx>
            <c:strRef>
              <c:f>Challenge11d!$P$1</c:f>
              <c:strCache>
                <c:ptCount val="1"/>
                <c:pt idx="0">
                  <c:v>Sec Green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Challenge11d!$P$2:$P$74</c:f>
              <c:numCache>
                <c:formatCode>General</c:formatCode>
                <c:ptCount val="73"/>
                <c:pt idx="0">
                  <c:v>-56.5</c:v>
                </c:pt>
                <c:pt idx="1">
                  <c:v>-56.19326726910306</c:v>
                </c:pt>
                <c:pt idx="2">
                  <c:v>-55.289679885641704</c:v>
                </c:pt>
                <c:pt idx="3">
                  <c:v>-53.83496394895149</c:v>
                </c:pt>
                <c:pt idx="4">
                  <c:v>-51.89381174858179</c:v>
                </c:pt>
                <c:pt idx="5">
                  <c:v>-49.538355322776951</c:v>
                </c:pt>
                <c:pt idx="6">
                  <c:v>-46.839065310695808</c:v>
                </c:pt>
                <c:pt idx="7">
                  <c:v>-43.859419375371012</c:v>
                </c:pt>
                <c:pt idx="8">
                  <c:v>-40.653811510375903</c:v>
                </c:pt>
                <c:pt idx="9">
                  <c:v>-37.267526554056182</c:v>
                </c:pt>
                <c:pt idx="10">
                  <c:v>-33.737739111027324</c:v>
                </c:pt>
                <c:pt idx="11">
                  <c:v>-30.094863675302861</c:v>
                </c:pt>
                <c:pt idx="12">
                  <c:v>-26.363902458104477</c:v>
                </c:pt>
                <c:pt idx="13">
                  <c:v>-22.565642035714106</c:v>
                </c:pt>
                <c:pt idx="14">
                  <c:v>-18.717659607349717</c:v>
                </c:pt>
                <c:pt idx="15">
                  <c:v>-14.835150170770756</c:v>
                </c:pt>
                <c:pt idx="16">
                  <c:v>-10.931604843608195</c:v>
                </c:pt>
                <c:pt idx="17">
                  <c:v>-7.0193745532636465</c:v>
                </c:pt>
                <c:pt idx="18">
                  <c:v>-3.1101512453401874</c:v>
                </c:pt>
                <c:pt idx="19">
                  <c:v>0.78460511538867295</c:v>
                </c:pt>
                <c:pt idx="20">
                  <c:v>4.6532693309308311</c:v>
                </c:pt>
                <c:pt idx="21">
                  <c:v>8.4836623599672425</c:v>
                </c:pt>
                <c:pt idx="22">
                  <c:v>12.26265279735941</c:v>
                </c:pt>
                <c:pt idx="23">
                  <c:v>15.975732489337737</c:v>
                </c:pt>
                <c:pt idx="24">
                  <c:v>19.606553652760628</c:v>
                </c:pt>
                <c:pt idx="25">
                  <c:v>23.136420378827115</c:v>
                </c:pt>
                <c:pt idx="26">
                  <c:v>26.543737340394699</c:v>
                </c:pt>
                <c:pt idx="27">
                  <c:v>29.803436194608931</c:v>
                </c:pt>
                <c:pt idx="28">
                  <c:v>32.886429962882332</c:v>
                </c:pt>
                <c:pt idx="29">
                  <c:v>35.759192167382459</c:v>
                </c:pt>
                <c:pt idx="30">
                  <c:v>38.383622549725615</c:v>
                </c:pt>
                <c:pt idx="31">
                  <c:v>40.717437226961273</c:v>
                </c:pt>
                <c:pt idx="32">
                  <c:v>42.715380262889092</c:v>
                </c:pt>
                <c:pt idx="33">
                  <c:v>44.331537420891308</c:v>
                </c:pt>
                <c:pt idx="34">
                  <c:v>45.52285961421876</c:v>
                </c:pt>
                <c:pt idx="35">
                  <c:v>46.253619342905459</c:v>
                </c:pt>
                <c:pt idx="36">
                  <c:v>46.5</c:v>
                </c:pt>
                <c:pt idx="37">
                  <c:v>46.253619342905459</c:v>
                </c:pt>
                <c:pt idx="38">
                  <c:v>45.52285961421876</c:v>
                </c:pt>
                <c:pt idx="39">
                  <c:v>44.331537420891308</c:v>
                </c:pt>
                <c:pt idx="40">
                  <c:v>42.715380262889092</c:v>
                </c:pt>
                <c:pt idx="41">
                  <c:v>40.717437226961273</c:v>
                </c:pt>
                <c:pt idx="42">
                  <c:v>38.383622549725615</c:v>
                </c:pt>
                <c:pt idx="43">
                  <c:v>35.759192167382459</c:v>
                </c:pt>
                <c:pt idx="44">
                  <c:v>32.886429962882332</c:v>
                </c:pt>
                <c:pt idx="45">
                  <c:v>29.803436194608931</c:v>
                </c:pt>
                <c:pt idx="46">
                  <c:v>26.543737340394699</c:v>
                </c:pt>
                <c:pt idx="47">
                  <c:v>23.136420378827115</c:v>
                </c:pt>
                <c:pt idx="48">
                  <c:v>19.606553652760628</c:v>
                </c:pt>
                <c:pt idx="49">
                  <c:v>15.975732489337737</c:v>
                </c:pt>
                <c:pt idx="50">
                  <c:v>12.26265279735941</c:v>
                </c:pt>
                <c:pt idx="51">
                  <c:v>8.4836623599672425</c:v>
                </c:pt>
                <c:pt idx="52">
                  <c:v>4.6532693309308311</c:v>
                </c:pt>
                <c:pt idx="53">
                  <c:v>0.78460511538867295</c:v>
                </c:pt>
                <c:pt idx="54">
                  <c:v>-3.1101512453401874</c:v>
                </c:pt>
                <c:pt idx="55">
                  <c:v>-7.0193745532636465</c:v>
                </c:pt>
                <c:pt idx="56">
                  <c:v>-10.931604843608195</c:v>
                </c:pt>
                <c:pt idx="57">
                  <c:v>-14.835150170770756</c:v>
                </c:pt>
                <c:pt idx="58">
                  <c:v>-18.717659607349717</c:v>
                </c:pt>
                <c:pt idx="59">
                  <c:v>-22.565642035714106</c:v>
                </c:pt>
                <c:pt idx="60">
                  <c:v>-26.363902458104477</c:v>
                </c:pt>
                <c:pt idx="61">
                  <c:v>-30.094863675302861</c:v>
                </c:pt>
                <c:pt idx="62">
                  <c:v>-33.737739111027324</c:v>
                </c:pt>
                <c:pt idx="63">
                  <c:v>-37.267526554056182</c:v>
                </c:pt>
                <c:pt idx="64">
                  <c:v>-40.653811510375903</c:v>
                </c:pt>
                <c:pt idx="65">
                  <c:v>-43.859419375371012</c:v>
                </c:pt>
                <c:pt idx="66">
                  <c:v>-46.839065310695808</c:v>
                </c:pt>
                <c:pt idx="67">
                  <c:v>-49.538355322776951</c:v>
                </c:pt>
                <c:pt idx="68">
                  <c:v>-51.89381174858179</c:v>
                </c:pt>
                <c:pt idx="69">
                  <c:v>-53.83496394895149</c:v>
                </c:pt>
                <c:pt idx="70">
                  <c:v>-55.289679885641704</c:v>
                </c:pt>
                <c:pt idx="71">
                  <c:v>-56.19326726910306</c:v>
                </c:pt>
                <c:pt idx="72">
                  <c:v>-56.5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53B-4810-8A3F-EB1B367BF6B1}"/>
            </c:ext>
          </c:extLst>
        </c:ser>
        <c:ser>
          <c:idx val="12"/>
          <c:order val="12"/>
          <c:tx>
            <c:strRef>
              <c:f>Challenge11d!$Q$1</c:f>
              <c:strCache>
                <c:ptCount val="1"/>
                <c:pt idx="0">
                  <c:v>Sec Cyan</c:v>
                </c:pt>
              </c:strCache>
            </c:strRef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val>
            <c:numRef>
              <c:f>Challenge11d!$Q$2:$Q$74</c:f>
              <c:numCache>
                <c:formatCode>General</c:formatCode>
                <c:ptCount val="73"/>
                <c:pt idx="0">
                  <c:v>-57.000000000000007</c:v>
                </c:pt>
                <c:pt idx="1">
                  <c:v>-56.687061471789107</c:v>
                </c:pt>
                <c:pt idx="2">
                  <c:v>-55.765754351397206</c:v>
                </c:pt>
                <c:pt idx="3">
                  <c:v>-54.284136261056496</c:v>
                </c:pt>
                <c:pt idx="4">
                  <c:v>-52.309839835947926</c:v>
                </c:pt>
                <c:pt idx="5">
                  <c:v>-49.917761811653321</c:v>
                </c:pt>
                <c:pt idx="6">
                  <c:v>-47.180525513556717</c:v>
                </c:pt>
                <c:pt idx="7">
                  <c:v>-44.163058410064629</c:v>
                </c:pt>
                <c:pt idx="8">
                  <c:v>-40.920606633892078</c:v>
                </c:pt>
                <c:pt idx="9">
                  <c:v>-37.498873956184241</c:v>
                </c:pt>
                <c:pt idx="10">
                  <c:v>-33.935171010686631</c:v>
                </c:pt>
                <c:pt idx="11">
                  <c:v>-30.259877866981999</c:v>
                </c:pt>
                <c:pt idx="12">
                  <c:v>-26.497867272497185</c:v>
                </c:pt>
                <c:pt idx="13">
                  <c:v>-22.669748360347274</c:v>
                </c:pt>
                <c:pt idx="14">
                  <c:v>-18.792900635306104</c:v>
                </c:pt>
                <c:pt idx="15">
                  <c:v>-14.882316567472683</c:v>
                </c:pt>
                <c:pt idx="16">
                  <c:v>-10.951287871218497</c:v>
                </c:pt>
                <c:pt idx="17">
                  <c:v>-7.0119728522006977</c:v>
                </c:pt>
                <c:pt idx="18">
                  <c:v>-3.0758789872998702</c:v>
                </c:pt>
                <c:pt idx="19">
                  <c:v>0.84570968270462166</c:v>
                </c:pt>
                <c:pt idx="20">
                  <c:v>4.7413350168749862</c:v>
                </c:pt>
                <c:pt idx="21">
                  <c:v>8.5989751747712386</c:v>
                </c:pt>
                <c:pt idx="22">
                  <c:v>12.40564371306332</c:v>
                </c:pt>
                <c:pt idx="23">
                  <c:v>16.14696057629644</c:v>
                </c:pt>
                <c:pt idx="24">
                  <c:v>19.806681271784701</c:v>
                </c:pt>
                <c:pt idx="25">
                  <c:v>23.366175722439863</c:v>
                </c:pt>
                <c:pt idx="26">
                  <c:v>26.803857921134128</c:v>
                </c:pt>
                <c:pt idx="27">
                  <c:v>30.094585055088803</c:v>
                </c:pt>
                <c:pt idx="28">
                  <c:v>33.209074992552623</c:v>
                </c:pt>
                <c:pt idx="29">
                  <c:v>36.113439197685977</c:v>
                </c:pt>
                <c:pt idx="30">
                  <c:v>38.76899710354283</c:v>
                </c:pt>
                <c:pt idx="31">
                  <c:v>41.132621121357708</c:v>
                </c:pt>
                <c:pt idx="32">
                  <c:v>43.157930643376758</c:v>
                </c:pt>
                <c:pt idx="33">
                  <c:v>44.797646416163289</c:v>
                </c:pt>
                <c:pt idx="34">
                  <c:v>46.007242513949386</c:v>
                </c:pt>
                <c:pt idx="35">
                  <c:v>46.749625676495789</c:v>
                </c:pt>
                <c:pt idx="36">
                  <c:v>47.000000000000007</c:v>
                </c:pt>
                <c:pt idx="37">
                  <c:v>46.749625676495789</c:v>
                </c:pt>
                <c:pt idx="38">
                  <c:v>46.007242513949386</c:v>
                </c:pt>
                <c:pt idx="39">
                  <c:v>44.797646416163289</c:v>
                </c:pt>
                <c:pt idx="40">
                  <c:v>43.157930643376758</c:v>
                </c:pt>
                <c:pt idx="41">
                  <c:v>41.132621121357708</c:v>
                </c:pt>
                <c:pt idx="42">
                  <c:v>38.76899710354283</c:v>
                </c:pt>
                <c:pt idx="43">
                  <c:v>36.113439197685977</c:v>
                </c:pt>
                <c:pt idx="44">
                  <c:v>33.209074992552623</c:v>
                </c:pt>
                <c:pt idx="45">
                  <c:v>30.094585055088803</c:v>
                </c:pt>
                <c:pt idx="46">
                  <c:v>26.803857921134128</c:v>
                </c:pt>
                <c:pt idx="47">
                  <c:v>23.366175722439863</c:v>
                </c:pt>
                <c:pt idx="48">
                  <c:v>19.806681271784701</c:v>
                </c:pt>
                <c:pt idx="49">
                  <c:v>16.14696057629644</c:v>
                </c:pt>
                <c:pt idx="50">
                  <c:v>12.40564371306332</c:v>
                </c:pt>
                <c:pt idx="51">
                  <c:v>8.5989751747712386</c:v>
                </c:pt>
                <c:pt idx="52">
                  <c:v>4.7413350168749862</c:v>
                </c:pt>
                <c:pt idx="53">
                  <c:v>0.84570968270462166</c:v>
                </c:pt>
                <c:pt idx="54">
                  <c:v>-3.0758789872998702</c:v>
                </c:pt>
                <c:pt idx="55">
                  <c:v>-7.0119728522006977</c:v>
                </c:pt>
                <c:pt idx="56">
                  <c:v>-10.951287871218497</c:v>
                </c:pt>
                <c:pt idx="57">
                  <c:v>-14.882316567472683</c:v>
                </c:pt>
                <c:pt idx="58">
                  <c:v>-18.792900635306104</c:v>
                </c:pt>
                <c:pt idx="59">
                  <c:v>-22.669748360347274</c:v>
                </c:pt>
                <c:pt idx="60">
                  <c:v>-26.497867272497185</c:v>
                </c:pt>
                <c:pt idx="61">
                  <c:v>-30.259877866981999</c:v>
                </c:pt>
                <c:pt idx="62">
                  <c:v>-33.935171010686631</c:v>
                </c:pt>
                <c:pt idx="63">
                  <c:v>-37.498873956184241</c:v>
                </c:pt>
                <c:pt idx="64">
                  <c:v>-40.920606633892078</c:v>
                </c:pt>
                <c:pt idx="65">
                  <c:v>-44.163058410064629</c:v>
                </c:pt>
                <c:pt idx="66">
                  <c:v>-47.180525513556717</c:v>
                </c:pt>
                <c:pt idx="67">
                  <c:v>-49.917761811653321</c:v>
                </c:pt>
                <c:pt idx="68">
                  <c:v>-52.309839835947926</c:v>
                </c:pt>
                <c:pt idx="69">
                  <c:v>-54.284136261056496</c:v>
                </c:pt>
                <c:pt idx="70">
                  <c:v>-55.765754351397206</c:v>
                </c:pt>
                <c:pt idx="71">
                  <c:v>-56.687061471789107</c:v>
                </c:pt>
                <c:pt idx="72">
                  <c:v>-57.000000000000007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3B-4810-8A3F-EB1B367BF6B1}"/>
            </c:ext>
          </c:extLst>
        </c:ser>
        <c:ser>
          <c:idx val="13"/>
          <c:order val="13"/>
          <c:tx>
            <c:strRef>
              <c:f>Challenge11d!$R$1</c:f>
              <c:strCache>
                <c:ptCount val="1"/>
                <c:pt idx="0">
                  <c:v>Sec Blue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Challenge11d!$R$2:$R$74</c:f>
              <c:numCache>
                <c:formatCode>General</c:formatCode>
                <c:ptCount val="73"/>
                <c:pt idx="0">
                  <c:v>-57.5</c:v>
                </c:pt>
                <c:pt idx="1">
                  <c:v>-57.180689709576747</c:v>
                </c:pt>
                <c:pt idx="2">
                  <c:v>-56.241222425911076</c:v>
                </c:pt>
                <c:pt idx="3">
                  <c:v>-54.732124545951699</c:v>
                </c:pt>
                <c:pt idx="4">
                  <c:v>-52.724113813288923</c:v>
                </c:pt>
                <c:pt idx="5">
                  <c:v>-50.294951443021453</c:v>
                </c:pt>
                <c:pt idx="6">
                  <c:v>-47.51945680984921</c:v>
                </c:pt>
                <c:pt idx="7">
                  <c:v>-44.464008775909996</c:v>
                </c:pt>
                <c:pt idx="8">
                  <c:v>-41.184685377671428</c:v>
                </c:pt>
                <c:pt idx="9">
                  <c:v>-37.727582020357758</c:v>
                </c:pt>
                <c:pt idx="10">
                  <c:v>-34.130119031424037</c:v>
                </c:pt>
                <c:pt idx="11">
                  <c:v>-30.422619916853197</c:v>
                </c:pt>
                <c:pt idx="12">
                  <c:v>-26.629810641355196</c:v>
                </c:pt>
                <c:pt idx="13">
                  <c:v>-22.77210987973849</c:v>
                </c:pt>
                <c:pt idx="14">
                  <c:v>-18.866689858781779</c:v>
                </c:pt>
                <c:pt idx="15">
                  <c:v>-14.928333492574971</c:v>
                </c:pt>
                <c:pt idx="16">
                  <c:v>-10.970127862762991</c:v>
                </c:pt>
                <c:pt idx="17">
                  <c:v>-7.0040346067109089</c:v>
                </c:pt>
                <c:pt idx="18">
                  <c:v>-3.0413733729717167</c:v>
                </c:pt>
                <c:pt idx="19">
                  <c:v>0.90675080219720317</c:v>
                </c:pt>
                <c:pt idx="20">
                  <c:v>4.8290499872592534</c:v>
                </c:pt>
                <c:pt idx="21">
                  <c:v>8.7136630862075837</c:v>
                </c:pt>
                <c:pt idx="22">
                  <c:v>12.547752857090488</c:v>
                </c:pt>
                <c:pt idx="23">
                  <c:v>16.317072573199681</c:v>
                </c:pt>
                <c:pt idx="24">
                  <c:v>20.005487523815269</c:v>
                </c:pt>
                <c:pt idx="25">
                  <c:v>23.594441415559626</c:v>
                </c:pt>
                <c:pt idx="26">
                  <c:v>27.062367005753455</c:v>
                </c:pt>
                <c:pt idx="27">
                  <c:v>30.384057641528614</c:v>
                </c:pt>
                <c:pt idx="28">
                  <c:v>33.530046940632111</c:v>
                </c:pt>
                <c:pt idx="29">
                  <c:v>36.466093617714975</c:v>
                </c:pt>
                <c:pt idx="30">
                  <c:v>39.152941365099664</c:v>
                </c:pt>
                <c:pt idx="31">
                  <c:v>41.546614276289013</c:v>
                </c:pt>
                <c:pt idx="32">
                  <c:v>43.599588363395597</c:v>
                </c:pt>
                <c:pt idx="33">
                  <c:v>45.263183340586785</c:v>
                </c:pt>
                <c:pt idx="34">
                  <c:v>46.491345036040009</c:v>
                </c:pt>
                <c:pt idx="35">
                  <c:v>47.245557523629692</c:v>
                </c:pt>
                <c:pt idx="36">
                  <c:v>47.5</c:v>
                </c:pt>
                <c:pt idx="37">
                  <c:v>47.245557523629692</c:v>
                </c:pt>
                <c:pt idx="38">
                  <c:v>46.491345036040009</c:v>
                </c:pt>
                <c:pt idx="39">
                  <c:v>45.263183340586785</c:v>
                </c:pt>
                <c:pt idx="40">
                  <c:v>43.599588363395597</c:v>
                </c:pt>
                <c:pt idx="41">
                  <c:v>41.546614276289013</c:v>
                </c:pt>
                <c:pt idx="42">
                  <c:v>39.152941365099664</c:v>
                </c:pt>
                <c:pt idx="43">
                  <c:v>36.466093617714975</c:v>
                </c:pt>
                <c:pt idx="44">
                  <c:v>33.530046940632111</c:v>
                </c:pt>
                <c:pt idx="45">
                  <c:v>30.384057641528614</c:v>
                </c:pt>
                <c:pt idx="46">
                  <c:v>27.062367005753455</c:v>
                </c:pt>
                <c:pt idx="47">
                  <c:v>23.594441415559626</c:v>
                </c:pt>
                <c:pt idx="48">
                  <c:v>20.005487523815269</c:v>
                </c:pt>
                <c:pt idx="49">
                  <c:v>16.317072573199681</c:v>
                </c:pt>
                <c:pt idx="50">
                  <c:v>12.547752857090488</c:v>
                </c:pt>
                <c:pt idx="51">
                  <c:v>8.7136630862075837</c:v>
                </c:pt>
                <c:pt idx="52">
                  <c:v>4.8290499872592534</c:v>
                </c:pt>
                <c:pt idx="53">
                  <c:v>0.90675080219720317</c:v>
                </c:pt>
                <c:pt idx="54">
                  <c:v>-3.0413733729717167</c:v>
                </c:pt>
                <c:pt idx="55">
                  <c:v>-7.0040346067109089</c:v>
                </c:pt>
                <c:pt idx="56">
                  <c:v>-10.970127862762991</c:v>
                </c:pt>
                <c:pt idx="57">
                  <c:v>-14.928333492574971</c:v>
                </c:pt>
                <c:pt idx="58">
                  <c:v>-18.866689858781779</c:v>
                </c:pt>
                <c:pt idx="59">
                  <c:v>-22.77210987973849</c:v>
                </c:pt>
                <c:pt idx="60">
                  <c:v>-26.629810641355196</c:v>
                </c:pt>
                <c:pt idx="61">
                  <c:v>-30.422619916853197</c:v>
                </c:pt>
                <c:pt idx="62">
                  <c:v>-34.130119031424037</c:v>
                </c:pt>
                <c:pt idx="63">
                  <c:v>-37.727582020357758</c:v>
                </c:pt>
                <c:pt idx="64">
                  <c:v>-41.184685377671428</c:v>
                </c:pt>
                <c:pt idx="65">
                  <c:v>-44.464008775909996</c:v>
                </c:pt>
                <c:pt idx="66">
                  <c:v>-47.51945680984921</c:v>
                </c:pt>
                <c:pt idx="67">
                  <c:v>-50.294951443021453</c:v>
                </c:pt>
                <c:pt idx="68">
                  <c:v>-52.724113813288923</c:v>
                </c:pt>
                <c:pt idx="69">
                  <c:v>-54.732124545951699</c:v>
                </c:pt>
                <c:pt idx="70">
                  <c:v>-56.241222425911076</c:v>
                </c:pt>
                <c:pt idx="71">
                  <c:v>-57.180689709576747</c:v>
                </c:pt>
                <c:pt idx="72">
                  <c:v>-57.5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53B-4810-8A3F-EB1B367BF6B1}"/>
            </c:ext>
          </c:extLst>
        </c:ser>
        <c:ser>
          <c:idx val="14"/>
          <c:order val="14"/>
          <c:tx>
            <c:strRef>
              <c:f>Challenge11d!$S$1</c:f>
              <c:strCache>
                <c:ptCount val="1"/>
                <c:pt idx="0">
                  <c:v>Sec Violet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Challenge11d!$S$2:$S$74</c:f>
              <c:numCache>
                <c:formatCode>General</c:formatCode>
                <c:ptCount val="73"/>
                <c:pt idx="0">
                  <c:v>-57.999999999999993</c:v>
                </c:pt>
                <c:pt idx="1">
                  <c:v>-57.674144288628582</c:v>
                </c:pt>
                <c:pt idx="2">
                  <c:v>-56.716057772001598</c:v>
                </c:pt>
                <c:pt idx="3">
                  <c:v>-55.178882362292221</c:v>
                </c:pt>
                <c:pt idx="4">
                  <c:v>-53.136573319903036</c:v>
                </c:pt>
                <c:pt idx="5">
                  <c:v>-50.66985869227252</c:v>
                </c:pt>
                <c:pt idx="6">
                  <c:v>-47.855795921351834</c:v>
                </c:pt>
                <c:pt idx="7">
                  <c:v>-44.762214061768319</c:v>
                </c:pt>
                <c:pt idx="8">
                  <c:v>-41.446000246216613</c:v>
                </c:pt>
                <c:pt idx="9">
                  <c:v>-37.953612446797074</c:v>
                </c:pt>
                <c:pt idx="10">
                  <c:v>-34.32255335988328</c:v>
                </c:pt>
                <c:pt idx="11">
                  <c:v>-30.583067356642143</c:v>
                </c:pt>
                <c:pt idx="12">
                  <c:v>-26.759716206345786</c:v>
                </c:pt>
                <c:pt idx="13">
                  <c:v>-22.872715196997792</c:v>
                </c:pt>
                <c:pt idx="14">
                  <c:v>-18.93901986328968</c:v>
                </c:pt>
                <c:pt idx="15">
                  <c:v>-14.973196732885357</c:v>
                </c:pt>
                <c:pt idx="16">
                  <c:v>-10.988123224339665</c:v>
                </c:pt>
                <c:pt idx="17">
                  <c:v>-6.9955604485662333</c:v>
                </c:pt>
                <c:pt idx="18">
                  <c:v>-3.0066370399774431</c:v>
                </c:pt>
                <c:pt idx="19">
                  <c:v>0.9677238914122166</c:v>
                </c:pt>
                <c:pt idx="20">
                  <c:v>4.91640763170866</c:v>
                </c:pt>
                <c:pt idx="21">
                  <c:v>8.8277172445268732</c:v>
                </c:pt>
                <c:pt idx="22">
                  <c:v>12.6889688203622</c:v>
                </c:pt>
                <c:pt idx="23">
                  <c:v>16.486054112156395</c:v>
                </c:pt>
                <c:pt idx="24">
                  <c:v>20.20295464837681</c:v>
                </c:pt>
                <c:pt idx="25">
                  <c:v>23.821195907908283</c:v>
                </c:pt>
                <c:pt idx="26">
                  <c:v>27.319239000422165</c:v>
                </c:pt>
                <c:pt idx="27">
                  <c:v>30.671824357254653</c:v>
                </c:pt>
                <c:pt idx="28">
                  <c:v>33.849312734958929</c:v>
                </c:pt>
                <c:pt idx="29">
                  <c:v>36.817120097934357</c:v>
                </c:pt>
                <c:pt idx="30">
                  <c:v>39.535419795451041</c:v>
                </c:pt>
                <c:pt idx="31">
                  <c:v>41.959383756468036</c:v>
                </c:pt>
                <c:pt idx="32">
                  <c:v>44.040326227335754</c:v>
                </c:pt>
                <c:pt idx="33">
                  <c:v>45.728129284629823</c:v>
                </c:pt>
                <c:pt idx="34">
                  <c:v>46.975157318609142</c:v>
                </c:pt>
                <c:pt idx="35">
                  <c:v>47.741412160168707</c:v>
                </c:pt>
                <c:pt idx="36">
                  <c:v>47.999999999999993</c:v>
                </c:pt>
                <c:pt idx="37">
                  <c:v>47.741412160168707</c:v>
                </c:pt>
                <c:pt idx="38">
                  <c:v>46.975157318609142</c:v>
                </c:pt>
                <c:pt idx="39">
                  <c:v>45.728129284629823</c:v>
                </c:pt>
                <c:pt idx="40">
                  <c:v>44.040326227335754</c:v>
                </c:pt>
                <c:pt idx="41">
                  <c:v>41.959383756468036</c:v>
                </c:pt>
                <c:pt idx="42">
                  <c:v>39.535419795451041</c:v>
                </c:pt>
                <c:pt idx="43">
                  <c:v>36.817120097934357</c:v>
                </c:pt>
                <c:pt idx="44">
                  <c:v>33.849312734958929</c:v>
                </c:pt>
                <c:pt idx="45">
                  <c:v>30.671824357254653</c:v>
                </c:pt>
                <c:pt idx="46">
                  <c:v>27.319239000422165</c:v>
                </c:pt>
                <c:pt idx="47">
                  <c:v>23.821195907908283</c:v>
                </c:pt>
                <c:pt idx="48">
                  <c:v>20.20295464837681</c:v>
                </c:pt>
                <c:pt idx="49">
                  <c:v>16.486054112156395</c:v>
                </c:pt>
                <c:pt idx="50">
                  <c:v>12.6889688203622</c:v>
                </c:pt>
                <c:pt idx="51">
                  <c:v>8.8277172445268732</c:v>
                </c:pt>
                <c:pt idx="52">
                  <c:v>4.91640763170866</c:v>
                </c:pt>
                <c:pt idx="53">
                  <c:v>0.9677238914122166</c:v>
                </c:pt>
                <c:pt idx="54">
                  <c:v>-3.0066370399774431</c:v>
                </c:pt>
                <c:pt idx="55">
                  <c:v>-6.9955604485662333</c:v>
                </c:pt>
                <c:pt idx="56">
                  <c:v>-10.988123224339665</c:v>
                </c:pt>
                <c:pt idx="57">
                  <c:v>-14.973196732885357</c:v>
                </c:pt>
                <c:pt idx="58">
                  <c:v>-18.93901986328968</c:v>
                </c:pt>
                <c:pt idx="59">
                  <c:v>-22.872715196997792</c:v>
                </c:pt>
                <c:pt idx="60">
                  <c:v>-26.759716206345786</c:v>
                </c:pt>
                <c:pt idx="61">
                  <c:v>-30.583067356642143</c:v>
                </c:pt>
                <c:pt idx="62">
                  <c:v>-34.32255335988328</c:v>
                </c:pt>
                <c:pt idx="63">
                  <c:v>-37.953612446797074</c:v>
                </c:pt>
                <c:pt idx="64">
                  <c:v>-41.446000246216613</c:v>
                </c:pt>
                <c:pt idx="65">
                  <c:v>-44.762214061768319</c:v>
                </c:pt>
                <c:pt idx="66">
                  <c:v>-47.855795921351834</c:v>
                </c:pt>
                <c:pt idx="67">
                  <c:v>-50.66985869227252</c:v>
                </c:pt>
                <c:pt idx="68">
                  <c:v>-53.136573319903036</c:v>
                </c:pt>
                <c:pt idx="69">
                  <c:v>-55.178882362292221</c:v>
                </c:pt>
                <c:pt idx="70">
                  <c:v>-56.716057772001598</c:v>
                </c:pt>
                <c:pt idx="71">
                  <c:v>-57.674144288628582</c:v>
                </c:pt>
                <c:pt idx="72">
                  <c:v>-52.500000000000007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3B-4810-8A3F-EB1B367BF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518687"/>
        <c:axId val="1745522527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Challenge11d!$L$1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Challenge11d!$L$2:$L$74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53B-4810-8A3F-EB1B367BF6B1}"/>
                  </c:ext>
                </c:extLst>
              </c15:ser>
            </c15:filteredLineSeries>
          </c:ext>
        </c:extLst>
      </c:lineChart>
      <c:catAx>
        <c:axId val="1745518687"/>
        <c:scaling>
          <c:orientation val="minMax"/>
        </c:scaling>
        <c:delete val="1"/>
        <c:axPos val="b"/>
        <c:majorTickMark val="out"/>
        <c:minorTickMark val="none"/>
        <c:tickLblPos val="nextTo"/>
        <c:crossAx val="1745522527"/>
        <c:crosses val="autoZero"/>
        <c:auto val="1"/>
        <c:lblAlgn val="ctr"/>
        <c:lblOffset val="100"/>
        <c:noMultiLvlLbl val="0"/>
      </c:catAx>
      <c:valAx>
        <c:axId val="1745522527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1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Solar angle = 20 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Challenge11d!$X$1</c:f>
              <c:strCache>
                <c:ptCount val="1"/>
                <c:pt idx="0">
                  <c:v>Prim Red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Challenge11d!$X$2:$X$74</c:f>
              <c:numCache>
                <c:formatCode>General</c:formatCode>
                <c:ptCount val="73"/>
                <c:pt idx="0">
                  <c:v>-62.000000000000014</c:v>
                </c:pt>
                <c:pt idx="1">
                  <c:v>-61.709374028327787</c:v>
                </c:pt>
                <c:pt idx="2">
                  <c:v>-60.855596383945155</c:v>
                </c:pt>
                <c:pt idx="3">
                  <c:v>-59.487965017079333</c:v>
                </c:pt>
                <c:pt idx="4">
                  <c:v>-57.674903210004913</c:v>
                </c:pt>
                <c:pt idx="5">
                  <c:v>-55.490885513998428</c:v>
                </c:pt>
                <c:pt idx="6">
                  <c:v>-53.006848222173709</c:v>
                </c:pt>
                <c:pt idx="7">
                  <c:v>-50.285200976510978</c:v>
                </c:pt>
                <c:pt idx="8">
                  <c:v>-47.378386401971632</c:v>
                </c:pt>
                <c:pt idx="9">
                  <c:v>-44.329448982451481</c:v>
                </c:pt>
                <c:pt idx="10">
                  <c:v>-41.173441836479007</c:v>
                </c:pt>
                <c:pt idx="11">
                  <c:v>-37.939003909414481</c:v>
                </c:pt>
                <c:pt idx="12">
                  <c:v>-34.649804674563249</c:v>
                </c:pt>
                <c:pt idx="13">
                  <c:v>-31.325757351761119</c:v>
                </c:pt>
                <c:pt idx="14">
                  <c:v>-27.983996900868803</c:v>
                </c:pt>
                <c:pt idx="15">
                  <c:v>-24.639655148290508</c:v>
                </c:pt>
                <c:pt idx="16">
                  <c:v>-21.306473613830974</c:v>
                </c:pt>
                <c:pt idx="17">
                  <c:v>-17.997291430206122</c:v>
                </c:pt>
                <c:pt idx="18">
                  <c:v>-14.724438932661034</c:v>
                </c:pt>
                <c:pt idx="19">
                  <c:v>-11.50006026630343</c:v>
                </c:pt>
                <c:pt idx="20">
                  <c:v>-8.3363818129013918</c:v>
                </c:pt>
                <c:pt idx="21">
                  <c:v>-5.245937558303754</c:v>
                </c:pt>
                <c:pt idx="22">
                  <c:v>-2.241757540546911</c:v>
                </c:pt>
                <c:pt idx="23">
                  <c:v>0.66247901466939463</c:v>
                </c:pt>
                <c:pt idx="24">
                  <c:v>3.4523285624576401</c:v>
                </c:pt>
                <c:pt idx="25">
                  <c:v>6.1125129610132172</c:v>
                </c:pt>
                <c:pt idx="26">
                  <c:v>8.6269048270011091</c:v>
                </c:pt>
                <c:pt idx="27">
                  <c:v>10.978582655367353</c:v>
                </c:pt>
                <c:pt idx="28">
                  <c:v>13.149971936146938</c:v>
                </c:pt>
                <c:pt idx="29">
                  <c:v>15.123088334082542</c:v>
                </c:pt>
                <c:pt idx="30">
                  <c:v>16.879895296083973</c:v>
                </c:pt>
                <c:pt idx="31">
                  <c:v>18.402779994819909</c:v>
                </c:pt>
                <c:pt idx="32">
                  <c:v>19.675137668759245</c:v>
                </c:pt>
                <c:pt idx="33">
                  <c:v>20.682035862884167</c:v>
                </c:pt>
                <c:pt idx="34">
                  <c:v>21.410909471313673</c:v>
                </c:pt>
                <c:pt idx="35">
                  <c:v>21.852219593591911</c:v>
                </c:pt>
                <c:pt idx="36">
                  <c:v>22.000000000000007</c:v>
                </c:pt>
                <c:pt idx="37">
                  <c:v>21.852219593591911</c:v>
                </c:pt>
                <c:pt idx="38">
                  <c:v>21.410909471313673</c:v>
                </c:pt>
                <c:pt idx="39">
                  <c:v>20.682035862884167</c:v>
                </c:pt>
                <c:pt idx="40">
                  <c:v>19.675137668759245</c:v>
                </c:pt>
                <c:pt idx="41">
                  <c:v>18.402779994819909</c:v>
                </c:pt>
                <c:pt idx="42">
                  <c:v>16.879895296083973</c:v>
                </c:pt>
                <c:pt idx="43">
                  <c:v>15.123088334082542</c:v>
                </c:pt>
                <c:pt idx="44">
                  <c:v>13.149971936146938</c:v>
                </c:pt>
                <c:pt idx="45">
                  <c:v>10.978582655367353</c:v>
                </c:pt>
                <c:pt idx="46">
                  <c:v>8.6269048270011091</c:v>
                </c:pt>
                <c:pt idx="47">
                  <c:v>6.1125129610132172</c:v>
                </c:pt>
                <c:pt idx="48">
                  <c:v>3.4523285624576401</c:v>
                </c:pt>
                <c:pt idx="49">
                  <c:v>0.66247901466939463</c:v>
                </c:pt>
                <c:pt idx="50">
                  <c:v>-2.241757540546911</c:v>
                </c:pt>
                <c:pt idx="51">
                  <c:v>-5.245937558303754</c:v>
                </c:pt>
                <c:pt idx="52">
                  <c:v>-8.3363818129013918</c:v>
                </c:pt>
                <c:pt idx="53">
                  <c:v>-11.50006026630343</c:v>
                </c:pt>
                <c:pt idx="54">
                  <c:v>-14.724438932661034</c:v>
                </c:pt>
                <c:pt idx="55">
                  <c:v>-17.997291430206122</c:v>
                </c:pt>
                <c:pt idx="56">
                  <c:v>-21.306473613830974</c:v>
                </c:pt>
                <c:pt idx="57">
                  <c:v>-24.639655148290508</c:v>
                </c:pt>
                <c:pt idx="58">
                  <c:v>-27.983996900868803</c:v>
                </c:pt>
                <c:pt idx="59">
                  <c:v>-31.325757351761119</c:v>
                </c:pt>
                <c:pt idx="60">
                  <c:v>-34.649804674563249</c:v>
                </c:pt>
                <c:pt idx="61">
                  <c:v>-37.939003909414481</c:v>
                </c:pt>
                <c:pt idx="62">
                  <c:v>-41.173441836479007</c:v>
                </c:pt>
                <c:pt idx="63">
                  <c:v>-44.329448982451481</c:v>
                </c:pt>
                <c:pt idx="64">
                  <c:v>-47.378386401971632</c:v>
                </c:pt>
                <c:pt idx="65">
                  <c:v>-50.285200976510978</c:v>
                </c:pt>
                <c:pt idx="66">
                  <c:v>-53.006848222173709</c:v>
                </c:pt>
                <c:pt idx="67">
                  <c:v>-55.490885513998428</c:v>
                </c:pt>
                <c:pt idx="68">
                  <c:v>-57.674903210004913</c:v>
                </c:pt>
                <c:pt idx="69">
                  <c:v>-59.487965017079333</c:v>
                </c:pt>
                <c:pt idx="70">
                  <c:v>-60.855596383945155</c:v>
                </c:pt>
                <c:pt idx="71">
                  <c:v>-61.709374028327787</c:v>
                </c:pt>
                <c:pt idx="72">
                  <c:v>-62.000000000000014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C-447C-818C-633B37AC3176}"/>
            </c:ext>
          </c:extLst>
        </c:ser>
        <c:ser>
          <c:idx val="1"/>
          <c:order val="1"/>
          <c:tx>
            <c:strRef>
              <c:f>Challenge11d!$Y$1</c:f>
              <c:strCache>
                <c:ptCount val="1"/>
                <c:pt idx="0">
                  <c:v>Prim Orange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Challenge11d!$Y$2:$Y$74</c:f>
              <c:numCache>
                <c:formatCode>General</c:formatCode>
                <c:ptCount val="73"/>
                <c:pt idx="0">
                  <c:v>-61.199999999999982</c:v>
                </c:pt>
                <c:pt idx="1">
                  <c:v>-60.921107680016483</c:v>
                </c:pt>
                <c:pt idx="2">
                  <c:v>-60.100741648371176</c:v>
                </c:pt>
                <c:pt idx="3">
                  <c:v>-58.783598853957074</c:v>
                </c:pt>
                <c:pt idx="4">
                  <c:v>-57.032406887972982</c:v>
                </c:pt>
                <c:pt idx="5">
                  <c:v>-54.916415044828149</c:v>
                </c:pt>
                <c:pt idx="6">
                  <c:v>-52.502604345053349</c:v>
                </c:pt>
                <c:pt idx="7">
                  <c:v>-49.850800299290682</c:v>
                </c:pt>
                <c:pt idx="8">
                  <c:v>-47.011975594341834</c:v>
                </c:pt>
                <c:pt idx="9">
                  <c:v>-44.028479927302691</c:v>
                </c:pt>
                <c:pt idx="10">
                  <c:v>-40.935157257077968</c:v>
                </c:pt>
                <c:pt idx="11">
                  <c:v>-37.760716060913921</c:v>
                </c:pt>
                <c:pt idx="12">
                  <c:v>-34.529040018160558</c:v>
                </c:pt>
                <c:pt idx="13">
                  <c:v>-31.260319784140222</c:v>
                </c:pt>
                <c:pt idx="14">
                  <c:v>-27.971983757237528</c:v>
                </c:pt>
                <c:pt idx="15">
                  <c:v>-24.67944686692201</c:v>
                </c:pt>
                <c:pt idx="16">
                  <c:v>-21.396709171766386</c:v>
                </c:pt>
                <c:pt idx="17">
                  <c:v>-18.136836169320574</c:v>
                </c:pt>
                <c:pt idx="18">
                  <c:v>-14.912348055959377</c:v>
                </c:pt>
                <c:pt idx="19">
                  <c:v>-11.735539283426299</c:v>
                </c:pt>
                <c:pt idx="20">
                  <c:v>-8.6187440282485657</c:v>
                </c:pt>
                <c:pt idx="21">
                  <c:v>-5.5745580120234735</c:v>
                </c:pt>
                <c:pt idx="22">
                  <c:v>-2.6160224614168812</c:v>
                </c:pt>
                <c:pt idx="23">
                  <c:v>0.2432282794774244</c:v>
                </c:pt>
                <c:pt idx="24">
                  <c:v>2.9888580214760516</c:v>
                </c:pt>
                <c:pt idx="25">
                  <c:v>5.6057652982595645</c:v>
                </c:pt>
                <c:pt idx="26">
                  <c:v>8.0780752232558317</c:v>
                </c:pt>
                <c:pt idx="27">
                  <c:v>10.389199570822992</c:v>
                </c:pt>
                <c:pt idx="28">
                  <c:v>12.521979683871526</c:v>
                </c:pt>
                <c:pt idx="29">
                  <c:v>14.458926277182503</c:v>
                </c:pt>
                <c:pt idx="30">
                  <c:v>16.182566363999392</c:v>
                </c:pt>
                <c:pt idx="31">
                  <c:v>17.675899368341721</c:v>
                </c:pt>
                <c:pt idx="32">
                  <c:v>18.922951563858543</c:v>
                </c:pt>
                <c:pt idx="33">
                  <c:v>19.909401076039774</c:v>
                </c:pt>
                <c:pt idx="34">
                  <c:v>20.623227305675602</c:v>
                </c:pt>
                <c:pt idx="35">
                  <c:v>21.055323049479771</c:v>
                </c:pt>
                <c:pt idx="36">
                  <c:v>21.200000000000003</c:v>
                </c:pt>
                <c:pt idx="37">
                  <c:v>21.055323049479771</c:v>
                </c:pt>
                <c:pt idx="38">
                  <c:v>20.623227305675602</c:v>
                </c:pt>
                <c:pt idx="39">
                  <c:v>19.909401076039774</c:v>
                </c:pt>
                <c:pt idx="40">
                  <c:v>18.922951563858543</c:v>
                </c:pt>
                <c:pt idx="41">
                  <c:v>17.675899368341721</c:v>
                </c:pt>
                <c:pt idx="42">
                  <c:v>16.182566363999392</c:v>
                </c:pt>
                <c:pt idx="43">
                  <c:v>14.458926277182503</c:v>
                </c:pt>
                <c:pt idx="44">
                  <c:v>12.521979683871526</c:v>
                </c:pt>
                <c:pt idx="45">
                  <c:v>10.389199570822992</c:v>
                </c:pt>
                <c:pt idx="46">
                  <c:v>8.0780752232558317</c:v>
                </c:pt>
                <c:pt idx="47">
                  <c:v>5.6057652982595645</c:v>
                </c:pt>
                <c:pt idx="48">
                  <c:v>2.9888580214760516</c:v>
                </c:pt>
                <c:pt idx="49">
                  <c:v>0.2432282794774244</c:v>
                </c:pt>
                <c:pt idx="50">
                  <c:v>-2.6160224614168812</c:v>
                </c:pt>
                <c:pt idx="51">
                  <c:v>-5.5745580120234735</c:v>
                </c:pt>
                <c:pt idx="52">
                  <c:v>-8.6187440282485657</c:v>
                </c:pt>
                <c:pt idx="53">
                  <c:v>-11.735539283426299</c:v>
                </c:pt>
                <c:pt idx="54">
                  <c:v>-14.912348055959377</c:v>
                </c:pt>
                <c:pt idx="55">
                  <c:v>-18.136836169320574</c:v>
                </c:pt>
                <c:pt idx="56">
                  <c:v>-21.396709171766386</c:v>
                </c:pt>
                <c:pt idx="57">
                  <c:v>-24.67944686692201</c:v>
                </c:pt>
                <c:pt idx="58">
                  <c:v>-27.971983757237528</c:v>
                </c:pt>
                <c:pt idx="59">
                  <c:v>-31.260319784140222</c:v>
                </c:pt>
                <c:pt idx="60">
                  <c:v>-34.529040018160558</c:v>
                </c:pt>
                <c:pt idx="61">
                  <c:v>-37.760716060913921</c:v>
                </c:pt>
                <c:pt idx="62">
                  <c:v>-40.935157257077968</c:v>
                </c:pt>
                <c:pt idx="63">
                  <c:v>-44.028479927302691</c:v>
                </c:pt>
                <c:pt idx="64">
                  <c:v>-47.011975594341834</c:v>
                </c:pt>
                <c:pt idx="65">
                  <c:v>-49.850800299290682</c:v>
                </c:pt>
                <c:pt idx="66">
                  <c:v>-52.502604345053349</c:v>
                </c:pt>
                <c:pt idx="67">
                  <c:v>-54.916415044828149</c:v>
                </c:pt>
                <c:pt idx="68">
                  <c:v>-57.032406887972982</c:v>
                </c:pt>
                <c:pt idx="69">
                  <c:v>-58.783598853957074</c:v>
                </c:pt>
                <c:pt idx="70">
                  <c:v>-60.100741648371176</c:v>
                </c:pt>
                <c:pt idx="71">
                  <c:v>-60.921107680016483</c:v>
                </c:pt>
                <c:pt idx="72">
                  <c:v>-61.199999999999982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0C-447C-818C-633B37AC3176}"/>
            </c:ext>
          </c:extLst>
        </c:ser>
        <c:ser>
          <c:idx val="2"/>
          <c:order val="2"/>
          <c:tx>
            <c:strRef>
              <c:f>Challenge11d!$Z$1</c:f>
              <c:strCache>
                <c:ptCount val="1"/>
                <c:pt idx="0">
                  <c:v>Prim Yellow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Challenge11d!$Z$2:$Z$74</c:f>
              <c:numCache>
                <c:formatCode>General</c:formatCode>
                <c:ptCount val="73"/>
                <c:pt idx="0">
                  <c:v>-61</c:v>
                </c:pt>
                <c:pt idx="1">
                  <c:v>-60.723950091924365</c:v>
                </c:pt>
                <c:pt idx="2">
                  <c:v>-59.911696324850105</c:v>
                </c:pt>
                <c:pt idx="3">
                  <c:v>-58.606861970575217</c:v>
                </c:pt>
                <c:pt idx="4">
                  <c:v>-56.870829931065558</c:v>
                </c:pt>
                <c:pt idx="5">
                  <c:v>-54.771596061470717</c:v>
                </c:pt>
                <c:pt idx="6">
                  <c:v>-52.375173957379999</c:v>
                </c:pt>
                <c:pt idx="7">
                  <c:v>-49.740742100792865</c:v>
                </c:pt>
                <c:pt idx="8">
                  <c:v>-46.918893599490474</c:v>
                </c:pt>
                <c:pt idx="9">
                  <c:v>-43.951789202054677</c:v>
                </c:pt>
                <c:pt idx="10">
                  <c:v>-40.874206270398282</c:v>
                </c:pt>
                <c:pt idx="11">
                  <c:v>-37.714858823840537</c:v>
                </c:pt>
                <c:pt idx="12">
                  <c:v>-34.497674906015867</c:v>
                </c:pt>
                <c:pt idx="13">
                  <c:v>-31.24290764090027</c:v>
                </c:pt>
                <c:pt idx="14">
                  <c:v>-27.968053694696088</c:v>
                </c:pt>
                <c:pt idx="15">
                  <c:v>-24.688595009530403</c:v>
                </c:pt>
                <c:pt idx="16">
                  <c:v>-21.418593458906297</c:v>
                </c:pt>
                <c:pt idx="17">
                  <c:v>-18.171168959896633</c:v>
                </c:pt>
                <c:pt idx="18">
                  <c:v>-14.958887433682055</c:v>
                </c:pt>
                <c:pt idx="19">
                  <c:v>-11.794079445979916</c:v>
                </c:pt>
                <c:pt idx="20">
                  <c:v>-8.6891048343310882</c:v>
                </c:pt>
                <c:pt idx="21">
                  <c:v>-5.6565735803169055</c:v>
                </c:pt>
                <c:pt idx="22">
                  <c:v>-2.7095286222146227</c:v>
                </c:pt>
                <c:pt idx="23">
                  <c:v>0.13840790541607514</c:v>
                </c:pt>
                <c:pt idx="24">
                  <c:v>2.8729275045956459</c:v>
                </c:pt>
                <c:pt idx="25">
                  <c:v>5.4789735210672346</c:v>
                </c:pt>
                <c:pt idx="26">
                  <c:v>7.9407345249568673</c:v>
                </c:pt>
                <c:pt idx="27">
                  <c:v>10.241705508084266</c:v>
                </c:pt>
                <c:pt idx="28">
                  <c:v>12.364831106320461</c:v>
                </c:pt>
                <c:pt idx="29">
                  <c:v>14.292744440352248</c:v>
                </c:pt>
                <c:pt idx="30">
                  <c:v>16.008111300982552</c:v>
                </c:pt>
                <c:pt idx="31">
                  <c:v>17.494081318980172</c:v>
                </c:pt>
                <c:pt idx="32">
                  <c:v>18.734835066591248</c:v>
                </c:pt>
                <c:pt idx="33">
                  <c:v>19.716199529899534</c:v>
                </c:pt>
                <c:pt idx="34">
                  <c:v>20.426286535838141</c:v>
                </c:pt>
                <c:pt idx="35">
                  <c:v>20.856093670509228</c:v>
                </c:pt>
                <c:pt idx="36">
                  <c:v>21</c:v>
                </c:pt>
                <c:pt idx="37">
                  <c:v>20.856093670509228</c:v>
                </c:pt>
                <c:pt idx="38">
                  <c:v>20.426286535838141</c:v>
                </c:pt>
                <c:pt idx="39">
                  <c:v>19.716199529899534</c:v>
                </c:pt>
                <c:pt idx="40">
                  <c:v>18.734835066591248</c:v>
                </c:pt>
                <c:pt idx="41">
                  <c:v>17.494081318980172</c:v>
                </c:pt>
                <c:pt idx="42">
                  <c:v>16.008111300982552</c:v>
                </c:pt>
                <c:pt idx="43">
                  <c:v>14.292744440352248</c:v>
                </c:pt>
                <c:pt idx="44">
                  <c:v>12.364831106320461</c:v>
                </c:pt>
                <c:pt idx="45">
                  <c:v>10.241705508084266</c:v>
                </c:pt>
                <c:pt idx="46">
                  <c:v>7.9407345249568673</c:v>
                </c:pt>
                <c:pt idx="47">
                  <c:v>5.4789735210672346</c:v>
                </c:pt>
                <c:pt idx="48">
                  <c:v>2.8729275045956459</c:v>
                </c:pt>
                <c:pt idx="49">
                  <c:v>0.13840790541607514</c:v>
                </c:pt>
                <c:pt idx="50">
                  <c:v>-2.7095286222146227</c:v>
                </c:pt>
                <c:pt idx="51">
                  <c:v>-5.6565735803169055</c:v>
                </c:pt>
                <c:pt idx="52">
                  <c:v>-8.6891048343310882</c:v>
                </c:pt>
                <c:pt idx="53">
                  <c:v>-11.794079445979916</c:v>
                </c:pt>
                <c:pt idx="54">
                  <c:v>-14.958887433682055</c:v>
                </c:pt>
                <c:pt idx="55">
                  <c:v>-18.171168959896633</c:v>
                </c:pt>
                <c:pt idx="56">
                  <c:v>-21.418593458906297</c:v>
                </c:pt>
                <c:pt idx="57">
                  <c:v>-24.688595009530403</c:v>
                </c:pt>
                <c:pt idx="58">
                  <c:v>-27.968053694696088</c:v>
                </c:pt>
                <c:pt idx="59">
                  <c:v>-31.24290764090027</c:v>
                </c:pt>
                <c:pt idx="60">
                  <c:v>-34.497674906015867</c:v>
                </c:pt>
                <c:pt idx="61">
                  <c:v>-37.714858823840537</c:v>
                </c:pt>
                <c:pt idx="62">
                  <c:v>-40.874206270398282</c:v>
                </c:pt>
                <c:pt idx="63">
                  <c:v>-43.951789202054677</c:v>
                </c:pt>
                <c:pt idx="64">
                  <c:v>-46.918893599490474</c:v>
                </c:pt>
                <c:pt idx="65">
                  <c:v>-49.740742100792865</c:v>
                </c:pt>
                <c:pt idx="66">
                  <c:v>-52.375173957379999</c:v>
                </c:pt>
                <c:pt idx="67">
                  <c:v>-54.771596061470717</c:v>
                </c:pt>
                <c:pt idx="68">
                  <c:v>-56.870829931065558</c:v>
                </c:pt>
                <c:pt idx="69">
                  <c:v>-58.606861970575217</c:v>
                </c:pt>
                <c:pt idx="70">
                  <c:v>-59.911696324850105</c:v>
                </c:pt>
                <c:pt idx="71">
                  <c:v>-60.723950091924365</c:v>
                </c:pt>
                <c:pt idx="72">
                  <c:v>-61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0C-447C-818C-633B37AC3176}"/>
            </c:ext>
          </c:extLst>
        </c:ser>
        <c:ser>
          <c:idx val="3"/>
          <c:order val="3"/>
          <c:tx>
            <c:strRef>
              <c:f>Challenge11d!$AA$1</c:f>
              <c:strCache>
                <c:ptCount val="1"/>
                <c:pt idx="0">
                  <c:v>Prim Green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Challenge11d!$AA$2:$AA$74</c:f>
              <c:numCache>
                <c:formatCode>General</c:formatCode>
                <c:ptCount val="73"/>
                <c:pt idx="0">
                  <c:v>-60.7</c:v>
                </c:pt>
                <c:pt idx="1">
                  <c:v>-60.428148435804907</c:v>
                </c:pt>
                <c:pt idx="2">
                  <c:v>-59.627889743011345</c:v>
                </c:pt>
                <c:pt idx="3">
                  <c:v>-58.341290342253025</c:v>
                </c:pt>
                <c:pt idx="4">
                  <c:v>-56.627772550866695</c:v>
                </c:pt>
                <c:pt idx="5">
                  <c:v>-54.553490796796709</c:v>
                </c:pt>
                <c:pt idx="6">
                  <c:v>-52.183024198936288</c:v>
                </c:pt>
                <c:pt idx="7">
                  <c:v>-49.574581098503202</c:v>
                </c:pt>
                <c:pt idx="8">
                  <c:v>-46.778177190731761</c:v>
                </c:pt>
                <c:pt idx="9">
                  <c:v>-43.835679050187643</c:v>
                </c:pt>
                <c:pt idx="10">
                  <c:v>-40.781753784610842</c:v>
                </c:pt>
                <c:pt idx="11">
                  <c:v>-37.64511499728922</c:v>
                </c:pt>
                <c:pt idx="12">
                  <c:v>-34.449750409690083</c:v>
                </c:pt>
                <c:pt idx="13">
                  <c:v>-31.216001636859207</c:v>
                </c:pt>
                <c:pt idx="14">
                  <c:v>-27.961463856262917</c:v>
                </c:pt>
                <c:pt idx="15">
                  <c:v>-24.701716629000529</c:v>
                </c:pt>
                <c:pt idx="16">
                  <c:v>-21.450912362989833</c:v>
                </c:pt>
                <c:pt idx="17">
                  <c:v>-18.222250911822684</c:v>
                </c:pt>
                <c:pt idx="18">
                  <c:v>-15.028365425251193</c:v>
                </c:pt>
                <c:pt idx="19">
                  <c:v>-11.881639500524372</c:v>
                </c:pt>
                <c:pt idx="20">
                  <c:v>-8.7944704689975541</c:v>
                </c:pt>
                <c:pt idx="21">
                  <c:v>-5.7794887997566669</c:v>
                </c:pt>
                <c:pt idx="22">
                  <c:v>-2.8497391717575753</c:v>
                </c:pt>
                <c:pt idx="23">
                  <c:v>-1.8824659706482498E-2</c:v>
                </c:pt>
                <c:pt idx="24">
                  <c:v>2.6989884100226162</c:v>
                </c:pt>
                <c:pt idx="25">
                  <c:v>5.2887110723893036</c:v>
                </c:pt>
                <c:pt idx="26">
                  <c:v>7.7346273158682788</c:v>
                </c:pt>
                <c:pt idx="27">
                  <c:v>10.020356863938096</c:v>
                </c:pt>
                <c:pt idx="28">
                  <c:v>12.128998774179435</c:v>
                </c:pt>
                <c:pt idx="29">
                  <c:v>14.043368751702555</c:v>
                </c:pt>
                <c:pt idx="30">
                  <c:v>15.746339174788424</c:v>
                </c:pt>
                <c:pt idx="31">
                  <c:v>17.221282867007012</c:v>
                </c:pt>
                <c:pt idx="32">
                  <c:v>18.452609297698022</c:v>
                </c:pt>
                <c:pt idx="33">
                  <c:v>19.426365966291606</c:v>
                </c:pt>
                <c:pt idx="34">
                  <c:v>20.130860632494734</c:v>
                </c:pt>
                <c:pt idx="35">
                  <c:v>20.557245779702289</c:v>
                </c:pt>
                <c:pt idx="36">
                  <c:v>20.700000000000006</c:v>
                </c:pt>
                <c:pt idx="37">
                  <c:v>20.557245779702289</c:v>
                </c:pt>
                <c:pt idx="38">
                  <c:v>20.130860632494734</c:v>
                </c:pt>
                <c:pt idx="39">
                  <c:v>19.426365966291606</c:v>
                </c:pt>
                <c:pt idx="40">
                  <c:v>18.452609297698022</c:v>
                </c:pt>
                <c:pt idx="41">
                  <c:v>17.221282867007012</c:v>
                </c:pt>
                <c:pt idx="42">
                  <c:v>15.746339174788424</c:v>
                </c:pt>
                <c:pt idx="43">
                  <c:v>14.043368751702555</c:v>
                </c:pt>
                <c:pt idx="44">
                  <c:v>12.128998774179435</c:v>
                </c:pt>
                <c:pt idx="45">
                  <c:v>10.020356863938096</c:v>
                </c:pt>
                <c:pt idx="46">
                  <c:v>7.7346273158682788</c:v>
                </c:pt>
                <c:pt idx="47">
                  <c:v>5.2887110723893036</c:v>
                </c:pt>
                <c:pt idx="48">
                  <c:v>2.6989884100226162</c:v>
                </c:pt>
                <c:pt idx="49">
                  <c:v>-1.8824659706482498E-2</c:v>
                </c:pt>
                <c:pt idx="50">
                  <c:v>-2.8497391717575753</c:v>
                </c:pt>
                <c:pt idx="51">
                  <c:v>-5.7794887997566669</c:v>
                </c:pt>
                <c:pt idx="52">
                  <c:v>-8.7944704689975541</c:v>
                </c:pt>
                <c:pt idx="53">
                  <c:v>-11.881639500524372</c:v>
                </c:pt>
                <c:pt idx="54">
                  <c:v>-15.028365425251193</c:v>
                </c:pt>
                <c:pt idx="55">
                  <c:v>-18.222250911822684</c:v>
                </c:pt>
                <c:pt idx="56">
                  <c:v>-21.450912362989833</c:v>
                </c:pt>
                <c:pt idx="57">
                  <c:v>-24.701716629000529</c:v>
                </c:pt>
                <c:pt idx="58">
                  <c:v>-27.961463856262917</c:v>
                </c:pt>
                <c:pt idx="59">
                  <c:v>-31.216001636859207</c:v>
                </c:pt>
                <c:pt idx="60">
                  <c:v>-34.449750409690083</c:v>
                </c:pt>
                <c:pt idx="61">
                  <c:v>-37.64511499728922</c:v>
                </c:pt>
                <c:pt idx="62">
                  <c:v>-40.781753784610842</c:v>
                </c:pt>
                <c:pt idx="63">
                  <c:v>-43.835679050187643</c:v>
                </c:pt>
                <c:pt idx="64">
                  <c:v>-46.778177190731761</c:v>
                </c:pt>
                <c:pt idx="65">
                  <c:v>-49.574581098503202</c:v>
                </c:pt>
                <c:pt idx="66">
                  <c:v>-52.183024198936288</c:v>
                </c:pt>
                <c:pt idx="67">
                  <c:v>-54.553490796796709</c:v>
                </c:pt>
                <c:pt idx="68">
                  <c:v>-56.627772550866695</c:v>
                </c:pt>
                <c:pt idx="69">
                  <c:v>-58.341290342253025</c:v>
                </c:pt>
                <c:pt idx="70">
                  <c:v>-59.627889743011345</c:v>
                </c:pt>
                <c:pt idx="71">
                  <c:v>-60.428148435804907</c:v>
                </c:pt>
                <c:pt idx="72">
                  <c:v>-60.7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0C-447C-818C-633B37AC3176}"/>
            </c:ext>
          </c:extLst>
        </c:ser>
        <c:ser>
          <c:idx val="4"/>
          <c:order val="4"/>
          <c:tx>
            <c:strRef>
              <c:f>Challenge11d!$AB$1</c:f>
              <c:strCache>
                <c:ptCount val="1"/>
                <c:pt idx="0">
                  <c:v>Prim Cyan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Challenge11d!$AB$2:$AB$74</c:f>
              <c:numCache>
                <c:formatCode>General</c:formatCode>
                <c:ptCount val="73"/>
                <c:pt idx="0">
                  <c:v>-60.5</c:v>
                </c:pt>
                <c:pt idx="1">
                  <c:v>-60.230904831700741</c:v>
                </c:pt>
                <c:pt idx="2">
                  <c:v>-59.43852976440585</c:v>
                </c:pt>
                <c:pt idx="3">
                  <c:v>-58.163937828921597</c:v>
                </c:pt>
                <c:pt idx="4">
                  <c:v>-56.465280894749334</c:v>
                </c:pt>
                <c:pt idx="5">
                  <c:v>-54.407511248018302</c:v>
                </c:pt>
                <c:pt idx="6">
                  <c:v>-52.054262982988405</c:v>
                </c:pt>
                <c:pt idx="7">
                  <c:v>-49.463098333278559</c:v>
                </c:pt>
                <c:pt idx="8">
                  <c:v>-46.683643045724359</c:v>
                </c:pt>
                <c:pt idx="9">
                  <c:v>-43.757560656458843</c:v>
                </c:pt>
                <c:pt idx="10">
                  <c:v>-40.719438001324257</c:v>
                </c:pt>
                <c:pt idx="11">
                  <c:v>-37.597982645710658</c:v>
                </c:pt>
                <c:pt idx="12">
                  <c:v>-34.417217529052465</c:v>
                </c:pt>
                <c:pt idx="13">
                  <c:v>-31.197539772908961</c:v>
                </c:pt>
                <c:pt idx="14">
                  <c:v>-27.956607611567954</c:v>
                </c:pt>
                <c:pt idx="15">
                  <c:v>-24.710063725456671</c:v>
                </c:pt>
                <c:pt idx="16">
                  <c:v>-21.472119394574143</c:v>
                </c:pt>
                <c:pt idx="17">
                  <c:v>-18.256026612423021</c:v>
                </c:pt>
                <c:pt idx="18">
                  <c:v>-15.074462423095198</c:v>
                </c:pt>
                <c:pt idx="19">
                  <c:v>-11.939845003405464</c:v>
                </c:pt>
                <c:pt idx="20">
                  <c:v>-8.864596003969865</c:v>
                </c:pt>
                <c:pt idx="21">
                  <c:v>-5.8613589426172092</c:v>
                </c:pt>
                <c:pt idx="22">
                  <c:v>-2.9431791030104613</c:v>
                </c:pt>
                <c:pt idx="23">
                  <c:v>-0.12364635482677407</c:v>
                </c:pt>
                <c:pt idx="24">
                  <c:v>2.5830015117107399</c:v>
                </c:pt>
                <c:pt idx="25">
                  <c:v>5.1618209679180644</c:v>
                </c:pt>
                <c:pt idx="26">
                  <c:v>7.5971597644975359</c:v>
                </c:pt>
                <c:pt idx="27">
                  <c:v>9.8727207102659449</c:v>
                </c:pt>
                <c:pt idx="28">
                  <c:v>11.971705460385714</c:v>
                </c:pt>
                <c:pt idx="29">
                  <c:v>13.877050757774223</c:v>
                </c:pt>
                <c:pt idx="30">
                  <c:v>15.571765655758913</c:v>
                </c:pt>
                <c:pt idx="31">
                  <c:v>17.039370370531394</c:v>
                </c:pt>
                <c:pt idx="32">
                  <c:v>18.264425284737456</c:v>
                </c:pt>
                <c:pt idx="33">
                  <c:v>19.233123076466352</c:v>
                </c:pt>
                <c:pt idx="34">
                  <c:v>19.933900347158204</c:v>
                </c:pt>
                <c:pt idx="35">
                  <c:v>20.358011343037152</c:v>
                </c:pt>
                <c:pt idx="36">
                  <c:v>20.500000000000004</c:v>
                </c:pt>
                <c:pt idx="37">
                  <c:v>20.358011343037152</c:v>
                </c:pt>
                <c:pt idx="38">
                  <c:v>19.933900347158204</c:v>
                </c:pt>
                <c:pt idx="39">
                  <c:v>19.233123076466352</c:v>
                </c:pt>
                <c:pt idx="40">
                  <c:v>18.264425284737456</c:v>
                </c:pt>
                <c:pt idx="41">
                  <c:v>17.039370370531394</c:v>
                </c:pt>
                <c:pt idx="42">
                  <c:v>15.571765655758913</c:v>
                </c:pt>
                <c:pt idx="43">
                  <c:v>13.877050757774223</c:v>
                </c:pt>
                <c:pt idx="44">
                  <c:v>11.971705460385714</c:v>
                </c:pt>
                <c:pt idx="45">
                  <c:v>9.8727207102659449</c:v>
                </c:pt>
                <c:pt idx="46">
                  <c:v>7.5971597644975359</c:v>
                </c:pt>
                <c:pt idx="47">
                  <c:v>5.1618209679180644</c:v>
                </c:pt>
                <c:pt idx="48">
                  <c:v>2.5830015117107399</c:v>
                </c:pt>
                <c:pt idx="49">
                  <c:v>-0.12364635482677407</c:v>
                </c:pt>
                <c:pt idx="50">
                  <c:v>-2.9431791030104613</c:v>
                </c:pt>
                <c:pt idx="51">
                  <c:v>-5.8613589426172092</c:v>
                </c:pt>
                <c:pt idx="52">
                  <c:v>-8.864596003969865</c:v>
                </c:pt>
                <c:pt idx="53">
                  <c:v>-11.939845003405464</c:v>
                </c:pt>
                <c:pt idx="54">
                  <c:v>-15.074462423095198</c:v>
                </c:pt>
                <c:pt idx="55">
                  <c:v>-18.256026612423021</c:v>
                </c:pt>
                <c:pt idx="56">
                  <c:v>-21.472119394574143</c:v>
                </c:pt>
                <c:pt idx="57">
                  <c:v>-24.710063725456671</c:v>
                </c:pt>
                <c:pt idx="58">
                  <c:v>-27.956607611567954</c:v>
                </c:pt>
                <c:pt idx="59">
                  <c:v>-31.197539772908961</c:v>
                </c:pt>
                <c:pt idx="60">
                  <c:v>-34.417217529052465</c:v>
                </c:pt>
                <c:pt idx="61">
                  <c:v>-37.597982645710658</c:v>
                </c:pt>
                <c:pt idx="62">
                  <c:v>-40.719438001324257</c:v>
                </c:pt>
                <c:pt idx="63">
                  <c:v>-43.757560656458843</c:v>
                </c:pt>
                <c:pt idx="64">
                  <c:v>-46.683643045724359</c:v>
                </c:pt>
                <c:pt idx="65">
                  <c:v>-49.463098333278559</c:v>
                </c:pt>
                <c:pt idx="66">
                  <c:v>-52.054262982988405</c:v>
                </c:pt>
                <c:pt idx="67">
                  <c:v>-54.407511248018302</c:v>
                </c:pt>
                <c:pt idx="68">
                  <c:v>-56.465280894749334</c:v>
                </c:pt>
                <c:pt idx="69">
                  <c:v>-58.163937828921597</c:v>
                </c:pt>
                <c:pt idx="70">
                  <c:v>-59.43852976440585</c:v>
                </c:pt>
                <c:pt idx="71">
                  <c:v>-60.230904831700741</c:v>
                </c:pt>
                <c:pt idx="72">
                  <c:v>-60.5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0C-447C-818C-633B37AC3176}"/>
            </c:ext>
          </c:extLst>
        </c:ser>
        <c:ser>
          <c:idx val="5"/>
          <c:order val="5"/>
          <c:tx>
            <c:strRef>
              <c:f>Challenge11d!$AC$1</c:f>
              <c:strCache>
                <c:ptCount val="1"/>
                <c:pt idx="0">
                  <c:v>Prim Blue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Challenge11d!$AC$2:$AC$74</c:f>
              <c:numCache>
                <c:formatCode>General</c:formatCode>
                <c:ptCount val="73"/>
                <c:pt idx="0">
                  <c:v>-60.20000000000001</c:v>
                </c:pt>
                <c:pt idx="1">
                  <c:v>-59.934977360521735</c:v>
                </c:pt>
                <c:pt idx="2">
                  <c:v>-59.154262187754867</c:v>
                </c:pt>
                <c:pt idx="3">
                  <c:v>-57.897462117010498</c:v>
                </c:pt>
                <c:pt idx="4">
                  <c:v>-56.220876552133198</c:v>
                </c:pt>
                <c:pt idx="5">
                  <c:v>-54.187692178208543</c:v>
                </c:pt>
                <c:pt idx="6">
                  <c:v>-51.86014277406391</c:v>
                </c:pt>
                <c:pt idx="7">
                  <c:v>-49.294823020355629</c:v>
                </c:pt>
                <c:pt idx="8">
                  <c:v>-46.540766826788982</c:v>
                </c:pt>
                <c:pt idx="9">
                  <c:v>-43.639323205676128</c:v>
                </c:pt>
                <c:pt idx="10">
                  <c:v>-40.624948668836957</c:v>
                </c:pt>
                <c:pt idx="11">
                  <c:v>-37.526333189757018</c:v>
                </c:pt>
                <c:pt idx="12">
                  <c:v>-34.367545708581623</c:v>
                </c:pt>
                <c:pt idx="13">
                  <c:v>-31.169061356526075</c:v>
                </c:pt>
                <c:pt idx="14">
                  <c:v>-27.948628988714255</c:v>
                </c:pt>
                <c:pt idx="15">
                  <c:v>-24.721982980357083</c:v>
                </c:pt>
                <c:pt idx="16">
                  <c:v>-21.503420650351433</c:v>
                </c:pt>
                <c:pt idx="17">
                  <c:v>-18.306270437148203</c:v>
                </c:pt>
                <c:pt idx="18">
                  <c:v>-15.143273807022911</c:v>
                </c:pt>
                <c:pt idx="19">
                  <c:v>-12.026899618029361</c:v>
                </c:pt>
                <c:pt idx="20">
                  <c:v>-8.9696049650716869</c:v>
                </c:pt>
                <c:pt idx="21">
                  <c:v>-5.9840520110326976</c:v>
                </c:pt>
                <c:pt idx="22">
                  <c:v>-3.0832861050762181</c:v>
                </c:pt>
                <c:pt idx="23">
                  <c:v>-0.28087655909220766</c:v>
                </c:pt>
                <c:pt idx="24">
                  <c:v>2.4089822712032944</c:v>
                </c:pt>
                <c:pt idx="25">
                  <c:v>4.9714154705485685</c:v>
                </c:pt>
                <c:pt idx="26">
                  <c:v>7.3908666487512065</c:v>
                </c:pt>
                <c:pt idx="27">
                  <c:v>9.6511631288921489</c:v>
                </c:pt>
                <c:pt idx="28">
                  <c:v>11.73565992884607</c:v>
                </c:pt>
                <c:pt idx="29">
                  <c:v>13.627474317141399</c:v>
                </c:pt>
                <c:pt idx="30">
                  <c:v>15.309818789555733</c:v>
                </c:pt>
                <c:pt idx="31">
                  <c:v>16.76643256281276</c:v>
                </c:pt>
                <c:pt idx="32">
                  <c:v>17.982099889270234</c:v>
                </c:pt>
                <c:pt idx="33">
                  <c:v>18.943228505998405</c:v>
                </c:pt>
                <c:pt idx="34">
                  <c:v>19.63844564767145</c:v>
                </c:pt>
                <c:pt idx="35">
                  <c:v>20.059155989584003</c:v>
                </c:pt>
                <c:pt idx="36">
                  <c:v>20.200000000000003</c:v>
                </c:pt>
                <c:pt idx="37">
                  <c:v>20.059155989584003</c:v>
                </c:pt>
                <c:pt idx="38">
                  <c:v>19.63844564767145</c:v>
                </c:pt>
                <c:pt idx="39">
                  <c:v>18.943228505998405</c:v>
                </c:pt>
                <c:pt idx="40">
                  <c:v>17.982099889270234</c:v>
                </c:pt>
                <c:pt idx="41">
                  <c:v>16.76643256281276</c:v>
                </c:pt>
                <c:pt idx="42">
                  <c:v>15.309818789555733</c:v>
                </c:pt>
                <c:pt idx="43">
                  <c:v>13.627474317141399</c:v>
                </c:pt>
                <c:pt idx="44">
                  <c:v>11.73565992884607</c:v>
                </c:pt>
                <c:pt idx="45">
                  <c:v>9.6511631288921489</c:v>
                </c:pt>
                <c:pt idx="46">
                  <c:v>7.3908666487512065</c:v>
                </c:pt>
                <c:pt idx="47">
                  <c:v>4.9714154705485685</c:v>
                </c:pt>
                <c:pt idx="48">
                  <c:v>2.4089822712032944</c:v>
                </c:pt>
                <c:pt idx="49">
                  <c:v>-0.28087655909220766</c:v>
                </c:pt>
                <c:pt idx="50">
                  <c:v>-3.0832861050762181</c:v>
                </c:pt>
                <c:pt idx="51">
                  <c:v>-5.9840520110326976</c:v>
                </c:pt>
                <c:pt idx="52">
                  <c:v>-8.9696049650716869</c:v>
                </c:pt>
                <c:pt idx="53">
                  <c:v>-12.026899618029361</c:v>
                </c:pt>
                <c:pt idx="54">
                  <c:v>-15.143273807022911</c:v>
                </c:pt>
                <c:pt idx="55">
                  <c:v>-18.306270437148203</c:v>
                </c:pt>
                <c:pt idx="56">
                  <c:v>-21.503420650351433</c:v>
                </c:pt>
                <c:pt idx="57">
                  <c:v>-24.721982980357083</c:v>
                </c:pt>
                <c:pt idx="58">
                  <c:v>-27.948628988714255</c:v>
                </c:pt>
                <c:pt idx="59">
                  <c:v>-31.169061356526075</c:v>
                </c:pt>
                <c:pt idx="60">
                  <c:v>-34.367545708581623</c:v>
                </c:pt>
                <c:pt idx="61">
                  <c:v>-37.526333189757018</c:v>
                </c:pt>
                <c:pt idx="62">
                  <c:v>-40.624948668836957</c:v>
                </c:pt>
                <c:pt idx="63">
                  <c:v>-43.639323205676128</c:v>
                </c:pt>
                <c:pt idx="64">
                  <c:v>-46.540766826788982</c:v>
                </c:pt>
                <c:pt idx="65">
                  <c:v>-49.294823020355629</c:v>
                </c:pt>
                <c:pt idx="66">
                  <c:v>-51.86014277406391</c:v>
                </c:pt>
                <c:pt idx="67">
                  <c:v>-54.187692178208543</c:v>
                </c:pt>
                <c:pt idx="68">
                  <c:v>-56.220876552133198</c:v>
                </c:pt>
                <c:pt idx="69">
                  <c:v>-57.897462117010498</c:v>
                </c:pt>
                <c:pt idx="70">
                  <c:v>-59.154262187754867</c:v>
                </c:pt>
                <c:pt idx="71">
                  <c:v>-59.934977360521735</c:v>
                </c:pt>
                <c:pt idx="72">
                  <c:v>-60.20000000000001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0C-447C-818C-633B37AC3176}"/>
            </c:ext>
          </c:extLst>
        </c:ser>
        <c:ser>
          <c:idx val="6"/>
          <c:order val="6"/>
          <c:tx>
            <c:strRef>
              <c:f>Challenge11d!$AD$1</c:f>
              <c:strCache>
                <c:ptCount val="1"/>
                <c:pt idx="0">
                  <c:v>Prim Violet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Challenge11d!$AD$2:$AD$74</c:f>
              <c:numCache>
                <c:formatCode>General</c:formatCode>
                <c:ptCount val="73"/>
                <c:pt idx="0">
                  <c:v>-59.999999999999993</c:v>
                </c:pt>
                <c:pt idx="1">
                  <c:v>-59.737651954216552</c:v>
                </c:pt>
                <c:pt idx="2">
                  <c:v>-58.964602000973962</c:v>
                </c:pt>
                <c:pt idx="3">
                  <c:v>-57.719519477672115</c:v>
                </c:pt>
                <c:pt idx="4">
                  <c:v>-56.057503314233763</c:v>
                </c:pt>
                <c:pt idx="5">
                  <c:v>-54.040587845435041</c:v>
                </c:pt>
                <c:pt idx="6">
                  <c:v>-51.73008493129322</c:v>
                </c:pt>
                <c:pt idx="7">
                  <c:v>-49.181945638950268</c:v>
                </c:pt>
                <c:pt idx="8">
                  <c:v>-46.444805049049414</c:v>
                </c:pt>
                <c:pt idx="9">
                  <c:v>-43.559796088967907</c:v>
                </c:pt>
                <c:pt idx="10">
                  <c:v>-40.561281917264566</c:v>
                </c:pt>
                <c:pt idx="11">
                  <c:v>-37.477935153828369</c:v>
                </c:pt>
                <c:pt idx="12">
                  <c:v>-34.333850872004412</c:v>
                </c:pt>
                <c:pt idx="13">
                  <c:v>-31.14955270032792</c:v>
                </c:pt>
                <c:pt idx="14">
                  <c:v>-27.942847243840312</c:v>
                </c:pt>
                <c:pt idx="15">
                  <c:v>-24.729527993191439</c:v>
                </c:pt>
                <c:pt idx="16">
                  <c:v>-21.52394808919362</c:v>
                </c:pt>
                <c:pt idx="17">
                  <c:v>-18.33948573494337</c:v>
                </c:pt>
                <c:pt idx="18">
                  <c:v>-15.188924379936504</c:v>
                </c:pt>
                <c:pt idx="19">
                  <c:v>-12.084765862573216</c:v>
                </c:pt>
                <c:pt idx="20">
                  <c:v>-9.0394902060695568</c:v>
                </c:pt>
                <c:pt idx="21">
                  <c:v>-6.0657713766366763</c:v>
                </c:pt>
                <c:pt idx="22">
                  <c:v>-3.1766542013871479</c:v>
                </c:pt>
                <c:pt idx="23">
                  <c:v>-0.38569378530288073</c:v>
                </c:pt>
                <c:pt idx="24">
                  <c:v>2.2929448911484966</c:v>
                </c:pt>
                <c:pt idx="25">
                  <c:v>4.8444329572799925</c:v>
                </c:pt>
                <c:pt idx="26">
                  <c:v>7.2532780675839001</c:v>
                </c:pt>
                <c:pt idx="27">
                  <c:v>9.5033904731260037</c:v>
                </c:pt>
                <c:pt idx="28">
                  <c:v>11.578227073173515</c:v>
                </c:pt>
                <c:pt idx="29">
                  <c:v>13.461024797493165</c:v>
                </c:pt>
                <c:pt idx="30">
                  <c:v>15.135130726364505</c:v>
                </c:pt>
                <c:pt idx="31">
                  <c:v>16.584428693673441</c:v>
                </c:pt>
                <c:pt idx="32">
                  <c:v>17.79385054701072</c:v>
                </c:pt>
                <c:pt idx="33">
                  <c:v>18.749945611049718</c:v>
                </c:pt>
                <c:pt idx="34">
                  <c:v>19.441466479815897</c:v>
                </c:pt>
                <c:pt idx="35">
                  <c:v>19.859916659571084</c:v>
                </c:pt>
                <c:pt idx="36">
                  <c:v>20</c:v>
                </c:pt>
                <c:pt idx="37">
                  <c:v>19.859916659571084</c:v>
                </c:pt>
                <c:pt idx="38">
                  <c:v>19.441466479815897</c:v>
                </c:pt>
                <c:pt idx="39">
                  <c:v>18.749945611049718</c:v>
                </c:pt>
                <c:pt idx="40">
                  <c:v>17.79385054701072</c:v>
                </c:pt>
                <c:pt idx="41">
                  <c:v>16.584428693673441</c:v>
                </c:pt>
                <c:pt idx="42">
                  <c:v>15.135130726364505</c:v>
                </c:pt>
                <c:pt idx="43">
                  <c:v>13.461024797493165</c:v>
                </c:pt>
                <c:pt idx="44">
                  <c:v>11.578227073173515</c:v>
                </c:pt>
                <c:pt idx="45">
                  <c:v>9.5033904731260037</c:v>
                </c:pt>
                <c:pt idx="46">
                  <c:v>7.2532780675839001</c:v>
                </c:pt>
                <c:pt idx="47">
                  <c:v>4.8444329572799925</c:v>
                </c:pt>
                <c:pt idx="48">
                  <c:v>2.2929448911484966</c:v>
                </c:pt>
                <c:pt idx="49">
                  <c:v>-0.38569378530288073</c:v>
                </c:pt>
                <c:pt idx="50">
                  <c:v>-3.1766542013871479</c:v>
                </c:pt>
                <c:pt idx="51">
                  <c:v>-6.0657713766366763</c:v>
                </c:pt>
                <c:pt idx="52">
                  <c:v>-9.0394902060695568</c:v>
                </c:pt>
                <c:pt idx="53">
                  <c:v>-12.084765862573216</c:v>
                </c:pt>
                <c:pt idx="54">
                  <c:v>-15.188924379936504</c:v>
                </c:pt>
                <c:pt idx="55">
                  <c:v>-18.33948573494337</c:v>
                </c:pt>
                <c:pt idx="56">
                  <c:v>-21.52394808919362</c:v>
                </c:pt>
                <c:pt idx="57">
                  <c:v>-24.729527993191439</c:v>
                </c:pt>
                <c:pt idx="58">
                  <c:v>-27.942847243840312</c:v>
                </c:pt>
                <c:pt idx="59">
                  <c:v>-31.14955270032792</c:v>
                </c:pt>
                <c:pt idx="60">
                  <c:v>-34.333850872004412</c:v>
                </c:pt>
                <c:pt idx="61">
                  <c:v>-37.477935153828369</c:v>
                </c:pt>
                <c:pt idx="62">
                  <c:v>-40.561281917264566</c:v>
                </c:pt>
                <c:pt idx="63">
                  <c:v>-43.559796088967907</c:v>
                </c:pt>
                <c:pt idx="64">
                  <c:v>-46.444805049049414</c:v>
                </c:pt>
                <c:pt idx="65">
                  <c:v>-49.181945638950268</c:v>
                </c:pt>
                <c:pt idx="66">
                  <c:v>-51.73008493129322</c:v>
                </c:pt>
                <c:pt idx="67">
                  <c:v>-54.040587845435041</c:v>
                </c:pt>
                <c:pt idx="68">
                  <c:v>-56.057503314233763</c:v>
                </c:pt>
                <c:pt idx="69">
                  <c:v>-57.719519477672115</c:v>
                </c:pt>
                <c:pt idx="70">
                  <c:v>-58.964602000973962</c:v>
                </c:pt>
                <c:pt idx="71">
                  <c:v>-59.737651954216552</c:v>
                </c:pt>
                <c:pt idx="72">
                  <c:v>-59.999999999999993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0C-447C-818C-633B37AC3176}"/>
            </c:ext>
          </c:extLst>
        </c:ser>
        <c:ser>
          <c:idx val="8"/>
          <c:order val="8"/>
          <c:tx>
            <c:strRef>
              <c:f>Challenge11d!$AF$1</c:f>
              <c:strCache>
                <c:ptCount val="1"/>
                <c:pt idx="0">
                  <c:v>Sec Red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Challenge11d!$AF$2:$AF$74</c:f>
              <c:numCache>
                <c:formatCode>General</c:formatCode>
                <c:ptCount val="73"/>
                <c:pt idx="0">
                  <c:v>-70.000000000000014</c:v>
                </c:pt>
                <c:pt idx="1">
                  <c:v>-69.54605515514838</c:v>
                </c:pt>
                <c:pt idx="2">
                  <c:v>-68.241804258810561</c:v>
                </c:pt>
                <c:pt idx="3">
                  <c:v>-66.229092292820113</c:v>
                </c:pt>
                <c:pt idx="4">
                  <c:v>-63.673392474436817</c:v>
                </c:pt>
                <c:pt idx="5">
                  <c:v>-60.721005281557517</c:v>
                </c:pt>
                <c:pt idx="6">
                  <c:v>-57.485079924439638</c:v>
                </c:pt>
                <c:pt idx="7">
                  <c:v>-54.048073669368961</c:v>
                </c:pt>
                <c:pt idx="8">
                  <c:v>-50.469023165383803</c:v>
                </c:pt>
                <c:pt idx="9">
                  <c:v>-46.790450014768666</c:v>
                </c:pt>
                <c:pt idx="10">
                  <c:v>-43.043592437147822</c:v>
                </c:pt>
                <c:pt idx="11">
                  <c:v>-39.252061578230062</c:v>
                </c:pt>
                <c:pt idx="12">
                  <c:v>-35.434329710878608</c:v>
                </c:pt>
                <c:pt idx="13">
                  <c:v>-31.605422186744157</c:v>
                </c:pt>
                <c:pt idx="14">
                  <c:v>-27.778084017134539</c:v>
                </c:pt>
                <c:pt idx="15">
                  <c:v>-23.963603719719707</c:v>
                </c:pt>
                <c:pt idx="16">
                  <c:v>-20.172414267078256</c:v>
                </c:pt>
                <c:pt idx="17">
                  <c:v>-16.414549350499634</c:v>
                </c:pt>
                <c:pt idx="18">
                  <c:v>-12.70000622802263</c:v>
                </c:pt>
                <c:pt idx="19">
                  <c:v>-9.0390489465978927</c:v>
                </c:pt>
                <c:pt idx="20">
                  <c:v>-5.4424741046870002</c:v>
                </c:pt>
                <c:pt idx="21">
                  <c:v>-1.9218531512711576</c:v>
                </c:pt>
                <c:pt idx="22">
                  <c:v>1.5102411176160888</c:v>
                </c:pt>
                <c:pt idx="23">
                  <c:v>4.8400218438179872</c:v>
                </c:pt>
                <c:pt idx="24">
                  <c:v>8.0522929477057748</c:v>
                </c:pt>
                <c:pt idx="25">
                  <c:v>11.130281885449987</c:v>
                </c:pt>
                <c:pt idx="26">
                  <c:v>14.055518451068554</c:v>
                </c:pt>
                <c:pt idx="27">
                  <c:v>16.807786682174896</c:v>
                </c:pt>
                <c:pt idx="28">
                  <c:v>19.365186298773903</c:v>
                </c:pt>
                <c:pt idx="29">
                  <c:v>21.704348069371253</c:v>
                </c:pt>
                <c:pt idx="30">
                  <c:v>23.800850702609708</c:v>
                </c:pt>
                <c:pt idx="31">
                  <c:v>25.629880416154698</c:v>
                </c:pt>
                <c:pt idx="32">
                  <c:v>27.167152717379963</c:v>
                </c:pt>
                <c:pt idx="33">
                  <c:v>28.390075392117851</c:v>
                </c:pt>
                <c:pt idx="34">
                  <c:v>29.279074112309679</c:v>
                </c:pt>
                <c:pt idx="35">
                  <c:v>29.818938705123614</c:v>
                </c:pt>
                <c:pt idx="36">
                  <c:v>30.000000000000004</c:v>
                </c:pt>
                <c:pt idx="37">
                  <c:v>29.818938705123614</c:v>
                </c:pt>
                <c:pt idx="38">
                  <c:v>29.279074112309679</c:v>
                </c:pt>
                <c:pt idx="39">
                  <c:v>28.390075392117851</c:v>
                </c:pt>
                <c:pt idx="40">
                  <c:v>27.167152717379963</c:v>
                </c:pt>
                <c:pt idx="41">
                  <c:v>25.629880416154698</c:v>
                </c:pt>
                <c:pt idx="42">
                  <c:v>23.800850702609708</c:v>
                </c:pt>
                <c:pt idx="43">
                  <c:v>21.704348069371253</c:v>
                </c:pt>
                <c:pt idx="44">
                  <c:v>19.365186298773903</c:v>
                </c:pt>
                <c:pt idx="45">
                  <c:v>16.807786682174896</c:v>
                </c:pt>
                <c:pt idx="46">
                  <c:v>14.055518451068554</c:v>
                </c:pt>
                <c:pt idx="47">
                  <c:v>11.130281885449987</c:v>
                </c:pt>
                <c:pt idx="48">
                  <c:v>8.0522929477057748</c:v>
                </c:pt>
                <c:pt idx="49">
                  <c:v>4.8400218438179872</c:v>
                </c:pt>
                <c:pt idx="50">
                  <c:v>1.5102411176160888</c:v>
                </c:pt>
                <c:pt idx="51">
                  <c:v>-1.9218531512711576</c:v>
                </c:pt>
                <c:pt idx="52">
                  <c:v>-5.4424741046870002</c:v>
                </c:pt>
                <c:pt idx="53">
                  <c:v>-9.0390489465978927</c:v>
                </c:pt>
                <c:pt idx="54">
                  <c:v>-12.70000622802263</c:v>
                </c:pt>
                <c:pt idx="55">
                  <c:v>-16.414549350499634</c:v>
                </c:pt>
                <c:pt idx="56">
                  <c:v>-20.172414267078256</c:v>
                </c:pt>
                <c:pt idx="57">
                  <c:v>-23.963603719719707</c:v>
                </c:pt>
                <c:pt idx="58">
                  <c:v>-27.778084017134539</c:v>
                </c:pt>
                <c:pt idx="59">
                  <c:v>-31.605422186744157</c:v>
                </c:pt>
                <c:pt idx="60">
                  <c:v>-35.434329710878608</c:v>
                </c:pt>
                <c:pt idx="61">
                  <c:v>-39.252061578230062</c:v>
                </c:pt>
                <c:pt idx="62">
                  <c:v>-43.043592437147822</c:v>
                </c:pt>
                <c:pt idx="63">
                  <c:v>-46.790450014768666</c:v>
                </c:pt>
                <c:pt idx="64">
                  <c:v>-50.469023165383803</c:v>
                </c:pt>
                <c:pt idx="65">
                  <c:v>-54.048073669368961</c:v>
                </c:pt>
                <c:pt idx="66">
                  <c:v>-57.485079924439638</c:v>
                </c:pt>
                <c:pt idx="67">
                  <c:v>-60.721005281557517</c:v>
                </c:pt>
                <c:pt idx="68">
                  <c:v>-63.673392474436817</c:v>
                </c:pt>
                <c:pt idx="69">
                  <c:v>-66.229092292820113</c:v>
                </c:pt>
                <c:pt idx="70">
                  <c:v>-68.241804258810561</c:v>
                </c:pt>
                <c:pt idx="71">
                  <c:v>-69.54605515514838</c:v>
                </c:pt>
                <c:pt idx="72">
                  <c:v>-70.000000000000014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0C-447C-818C-633B37AC3176}"/>
            </c:ext>
          </c:extLst>
        </c:ser>
        <c:ser>
          <c:idx val="9"/>
          <c:order val="9"/>
          <c:tx>
            <c:strRef>
              <c:f>Challenge11d!$AG$1</c:f>
              <c:strCache>
                <c:ptCount val="1"/>
                <c:pt idx="0">
                  <c:v>Sec Orange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Challenge11d!$AG$2:$AG$74</c:f>
              <c:numCache>
                <c:formatCode>General</c:formatCode>
                <c:ptCount val="73"/>
                <c:pt idx="0">
                  <c:v>-70.500000000000028</c:v>
                </c:pt>
                <c:pt idx="1">
                  <c:v>-70.031800462587455</c:v>
                </c:pt>
                <c:pt idx="2">
                  <c:v>-68.689673920274018</c:v>
                </c:pt>
                <c:pt idx="3">
                  <c:v>-66.625985526483575</c:v>
                </c:pt>
                <c:pt idx="4">
                  <c:v>-64.015580253806931</c:v>
                </c:pt>
                <c:pt idx="5">
                  <c:v>-61.010224874214579</c:v>
                </c:pt>
                <c:pt idx="6">
                  <c:v>-57.7253168494207</c:v>
                </c:pt>
                <c:pt idx="7">
                  <c:v>-54.24377105168216</c:v>
                </c:pt>
                <c:pt idx="8">
                  <c:v>-50.624297353507671</c:v>
                </c:pt>
                <c:pt idx="9">
                  <c:v>-46.908829950307208</c:v>
                </c:pt>
                <c:pt idx="10">
                  <c:v>-43.127989667656855</c:v>
                </c:pt>
                <c:pt idx="11">
                  <c:v>-39.304826727099368</c:v>
                </c:pt>
                <c:pt idx="12">
                  <c:v>-35.457332160858435</c:v>
                </c:pt>
                <c:pt idx="13">
                  <c:v>-31.600127992353841</c:v>
                </c:pt>
                <c:pt idx="14">
                  <c:v>-27.745623827347064</c:v>
                </c:pt>
                <c:pt idx="15">
                  <c:v>-23.90482938515564</c:v>
                </c:pt>
                <c:pt idx="16">
                  <c:v>-20.087945394349447</c:v>
                </c:pt>
                <c:pt idx="17">
                  <c:v>-16.304811868814301</c:v>
                </c:pt>
                <c:pt idx="18">
                  <c:v>-12.565265153233813</c:v>
                </c:pt>
                <c:pt idx="19">
                  <c:v>-8.8794374360341095</c:v>
                </c:pt>
                <c:pt idx="20">
                  <c:v>-5.2580207840894433</c:v>
                </c:pt>
                <c:pt idx="21">
                  <c:v>-1.7125096316571145</c:v>
                </c:pt>
                <c:pt idx="22">
                  <c:v>1.7445706192629282</c:v>
                </c:pt>
                <c:pt idx="23">
                  <c:v>5.0994468330667546</c:v>
                </c:pt>
                <c:pt idx="24">
                  <c:v>8.3368969658235255</c:v>
                </c:pt>
                <c:pt idx="25">
                  <c:v>11.440074928872317</c:v>
                </c:pt>
                <c:pt idx="26">
                  <c:v>14.390379943258154</c:v>
                </c:pt>
                <c:pt idx="27">
                  <c:v>17.167398191058574</c:v>
                </c:pt>
                <c:pt idx="28">
                  <c:v>19.748954583940908</c:v>
                </c:pt>
                <c:pt idx="29">
                  <c:v>22.111321281193021</c:v>
                </c:pt>
                <c:pt idx="30">
                  <c:v>24.229633706968119</c:v>
                </c:pt>
                <c:pt idx="31">
                  <c:v>26.078559023478444</c:v>
                </c:pt>
                <c:pt idx="32">
                  <c:v>27.633240252314479</c:v>
                </c:pt>
                <c:pt idx="33">
                  <c:v>28.870497114571375</c:v>
                </c:pt>
                <c:pt idx="34">
                  <c:v>29.770203678440474</c:v>
                </c:pt>
                <c:pt idx="35">
                  <c:v>30.316694730639558</c:v>
                </c:pt>
                <c:pt idx="36">
                  <c:v>30.500000000000004</c:v>
                </c:pt>
                <c:pt idx="37">
                  <c:v>30.316694730639558</c:v>
                </c:pt>
                <c:pt idx="38">
                  <c:v>29.770203678440474</c:v>
                </c:pt>
                <c:pt idx="39">
                  <c:v>28.870497114571375</c:v>
                </c:pt>
                <c:pt idx="40">
                  <c:v>27.633240252314479</c:v>
                </c:pt>
                <c:pt idx="41">
                  <c:v>26.078559023478444</c:v>
                </c:pt>
                <c:pt idx="42">
                  <c:v>24.229633706968119</c:v>
                </c:pt>
                <c:pt idx="43">
                  <c:v>22.111321281193021</c:v>
                </c:pt>
                <c:pt idx="44">
                  <c:v>19.748954583940908</c:v>
                </c:pt>
                <c:pt idx="45">
                  <c:v>17.167398191058574</c:v>
                </c:pt>
                <c:pt idx="46">
                  <c:v>14.390379943258154</c:v>
                </c:pt>
                <c:pt idx="47">
                  <c:v>11.440074928872317</c:v>
                </c:pt>
                <c:pt idx="48">
                  <c:v>8.3368969658235255</c:v>
                </c:pt>
                <c:pt idx="49">
                  <c:v>5.0994468330667546</c:v>
                </c:pt>
                <c:pt idx="50">
                  <c:v>1.7445706192629282</c:v>
                </c:pt>
                <c:pt idx="51">
                  <c:v>-1.7125096316571145</c:v>
                </c:pt>
                <c:pt idx="52">
                  <c:v>-5.2580207840894433</c:v>
                </c:pt>
                <c:pt idx="53">
                  <c:v>-8.8794374360341095</c:v>
                </c:pt>
                <c:pt idx="54">
                  <c:v>-12.565265153233813</c:v>
                </c:pt>
                <c:pt idx="55">
                  <c:v>-16.304811868814301</c:v>
                </c:pt>
                <c:pt idx="56">
                  <c:v>-20.087945394349447</c:v>
                </c:pt>
                <c:pt idx="57">
                  <c:v>-23.90482938515564</c:v>
                </c:pt>
                <c:pt idx="58">
                  <c:v>-27.745623827347064</c:v>
                </c:pt>
                <c:pt idx="59">
                  <c:v>-31.600127992353841</c:v>
                </c:pt>
                <c:pt idx="60">
                  <c:v>-35.457332160858435</c:v>
                </c:pt>
                <c:pt idx="61">
                  <c:v>-39.304826727099368</c:v>
                </c:pt>
                <c:pt idx="62">
                  <c:v>-43.127989667656855</c:v>
                </c:pt>
                <c:pt idx="63">
                  <c:v>-46.908829950307208</c:v>
                </c:pt>
                <c:pt idx="64">
                  <c:v>-50.624297353507671</c:v>
                </c:pt>
                <c:pt idx="65">
                  <c:v>-54.24377105168216</c:v>
                </c:pt>
                <c:pt idx="66">
                  <c:v>-57.7253168494207</c:v>
                </c:pt>
                <c:pt idx="67">
                  <c:v>-61.010224874214579</c:v>
                </c:pt>
                <c:pt idx="68">
                  <c:v>-64.015580253806931</c:v>
                </c:pt>
                <c:pt idx="69">
                  <c:v>-66.625985526483575</c:v>
                </c:pt>
                <c:pt idx="70">
                  <c:v>-68.689673920274018</c:v>
                </c:pt>
                <c:pt idx="71">
                  <c:v>-70.031800462587455</c:v>
                </c:pt>
                <c:pt idx="72">
                  <c:v>-70.500000000000028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0C-447C-818C-633B37AC3176}"/>
            </c:ext>
          </c:extLst>
        </c:ser>
        <c:ser>
          <c:idx val="10"/>
          <c:order val="10"/>
          <c:tx>
            <c:strRef>
              <c:f>Challenge11d!$AH$1</c:f>
              <c:strCache>
                <c:ptCount val="1"/>
                <c:pt idx="0">
                  <c:v>Sec Yellow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Challenge11d!$AH$2:$AH$74</c:f>
              <c:numCache>
                <c:formatCode>General</c:formatCode>
                <c:ptCount val="73"/>
                <c:pt idx="0">
                  <c:v>-71.000000000000028</c:v>
                </c:pt>
                <c:pt idx="1">
                  <c:v>-70.516854669625587</c:v>
                </c:pt>
                <c:pt idx="2">
                  <c:v>-69.135287643489633</c:v>
                </c:pt>
                <c:pt idx="3">
                  <c:v>-67.019083780979116</c:v>
                </c:pt>
                <c:pt idx="4">
                  <c:v>-64.352950051121709</c:v>
                </c:pt>
                <c:pt idx="5">
                  <c:v>-61.294156651315284</c:v>
                </c:pt>
                <c:pt idx="6">
                  <c:v>-57.96020474505935</c:v>
                </c:pt>
                <c:pt idx="7">
                  <c:v>-54.434312937730901</c:v>
                </c:pt>
                <c:pt idx="8">
                  <c:v>-50.774752032320137</c:v>
                </c:pt>
                <c:pt idx="9">
                  <c:v>-47.022797605887718</c:v>
                </c:pt>
                <c:pt idx="10">
                  <c:v>-43.208410886344573</c:v>
                </c:pt>
                <c:pt idx="11">
                  <c:v>-39.354057148760333</c:v>
                </c:pt>
                <c:pt idx="12">
                  <c:v>-35.477232951862241</c:v>
                </c:pt>
                <c:pt idx="13">
                  <c:v>-31.592149959433257</c:v>
                </c:pt>
                <c:pt idx="14">
                  <c:v>-27.710878800360494</c:v>
                </c:pt>
                <c:pt idx="15">
                  <c:v>-23.844148667387046</c:v>
                </c:pt>
                <c:pt idx="16">
                  <c:v>-20.001927205814372</c:v>
                </c:pt>
                <c:pt idx="17">
                  <c:v>-16.193860233699052</c:v>
                </c:pt>
                <c:pt idx="18">
                  <c:v>-12.429622641442226</c:v>
                </c:pt>
                <c:pt idx="19">
                  <c:v>-8.7192139851210761</c:v>
                </c:pt>
                <c:pt idx="20">
                  <c:v>-5.0732206656370016</c:v>
                </c:pt>
                <c:pt idx="21">
                  <c:v>-1.5030585383853887</c:v>
                </c:pt>
                <c:pt idx="22">
                  <c:v>1.9787964000285441</c:v>
                </c:pt>
                <c:pt idx="23">
                  <c:v>5.3585871544600101</c:v>
                </c:pt>
                <c:pt idx="24">
                  <c:v>8.6210684250861025</c:v>
                </c:pt>
                <c:pt idx="25">
                  <c:v>11.749323360277034</c:v>
                </c:pt>
                <c:pt idx="26">
                  <c:v>14.724623115722983</c:v>
                </c:pt>
                <c:pt idx="27">
                  <c:v>17.526357748469437</c:v>
                </c:pt>
                <c:pt idx="28">
                  <c:v>20.132077654156973</c:v>
                </c:pt>
                <c:pt idx="29">
                  <c:v>22.51769446086174</c:v>
                </c:pt>
                <c:pt idx="30">
                  <c:v>24.657895399367426</c:v>
                </c:pt>
                <c:pt idx="31">
                  <c:v>26.526820125797173</c:v>
                </c:pt>
                <c:pt idx="32">
                  <c:v>28.099027142329998</c:v>
                </c:pt>
                <c:pt idx="33">
                  <c:v>29.350733261573954</c:v>
                </c:pt>
                <c:pt idx="34">
                  <c:v>30.261245037145716</c:v>
                </c:pt>
                <c:pt idx="35">
                  <c:v>30.814427788960394</c:v>
                </c:pt>
                <c:pt idx="36">
                  <c:v>31.000000000000007</c:v>
                </c:pt>
                <c:pt idx="37">
                  <c:v>30.814427788960394</c:v>
                </c:pt>
                <c:pt idx="38">
                  <c:v>30.261245037145716</c:v>
                </c:pt>
                <c:pt idx="39">
                  <c:v>29.350733261573954</c:v>
                </c:pt>
                <c:pt idx="40">
                  <c:v>28.099027142329998</c:v>
                </c:pt>
                <c:pt idx="41">
                  <c:v>26.526820125797173</c:v>
                </c:pt>
                <c:pt idx="42">
                  <c:v>24.657895399367426</c:v>
                </c:pt>
                <c:pt idx="43">
                  <c:v>22.51769446086174</c:v>
                </c:pt>
                <c:pt idx="44">
                  <c:v>20.132077654156973</c:v>
                </c:pt>
                <c:pt idx="45">
                  <c:v>17.526357748469437</c:v>
                </c:pt>
                <c:pt idx="46">
                  <c:v>14.724623115722983</c:v>
                </c:pt>
                <c:pt idx="47">
                  <c:v>11.749323360277034</c:v>
                </c:pt>
                <c:pt idx="48">
                  <c:v>8.6210684250861025</c:v>
                </c:pt>
                <c:pt idx="49">
                  <c:v>5.3585871544600101</c:v>
                </c:pt>
                <c:pt idx="50">
                  <c:v>1.9787964000285441</c:v>
                </c:pt>
                <c:pt idx="51">
                  <c:v>-1.5030585383853887</c:v>
                </c:pt>
                <c:pt idx="52">
                  <c:v>-5.0732206656370016</c:v>
                </c:pt>
                <c:pt idx="53">
                  <c:v>-8.7192139851210761</c:v>
                </c:pt>
                <c:pt idx="54">
                  <c:v>-12.429622641442226</c:v>
                </c:pt>
                <c:pt idx="55">
                  <c:v>-16.193860233699052</c:v>
                </c:pt>
                <c:pt idx="56">
                  <c:v>-20.001927205814372</c:v>
                </c:pt>
                <c:pt idx="57">
                  <c:v>-23.844148667387046</c:v>
                </c:pt>
                <c:pt idx="58">
                  <c:v>-27.710878800360494</c:v>
                </c:pt>
                <c:pt idx="59">
                  <c:v>-31.592149959433257</c:v>
                </c:pt>
                <c:pt idx="60">
                  <c:v>-35.477232951862241</c:v>
                </c:pt>
                <c:pt idx="61">
                  <c:v>-39.354057148760333</c:v>
                </c:pt>
                <c:pt idx="62">
                  <c:v>-43.208410886344573</c:v>
                </c:pt>
                <c:pt idx="63">
                  <c:v>-47.022797605887718</c:v>
                </c:pt>
                <c:pt idx="64">
                  <c:v>-50.774752032320137</c:v>
                </c:pt>
                <c:pt idx="65">
                  <c:v>-54.434312937730901</c:v>
                </c:pt>
                <c:pt idx="66">
                  <c:v>-57.96020474505935</c:v>
                </c:pt>
                <c:pt idx="67">
                  <c:v>-61.294156651315284</c:v>
                </c:pt>
                <c:pt idx="68">
                  <c:v>-64.352950051121709</c:v>
                </c:pt>
                <c:pt idx="69">
                  <c:v>-67.019083780979116</c:v>
                </c:pt>
                <c:pt idx="70">
                  <c:v>-69.135287643489633</c:v>
                </c:pt>
                <c:pt idx="71">
                  <c:v>-70.516854669625587</c:v>
                </c:pt>
                <c:pt idx="72">
                  <c:v>-71.000000000000028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0C-447C-818C-633B37AC3176}"/>
            </c:ext>
          </c:extLst>
        </c:ser>
        <c:ser>
          <c:idx val="11"/>
          <c:order val="11"/>
          <c:tx>
            <c:strRef>
              <c:f>Challenge11d!$AI$1</c:f>
              <c:strCache>
                <c:ptCount val="1"/>
                <c:pt idx="0">
                  <c:v>Sec Green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Challenge11d!$AI$2:$AI$74</c:f>
              <c:numCache>
                <c:formatCode>General</c:formatCode>
                <c:ptCount val="73"/>
                <c:pt idx="0">
                  <c:v>-71.5</c:v>
                </c:pt>
                <c:pt idx="1">
                  <c:v>-71.001164770681982</c:v>
                </c:pt>
                <c:pt idx="2">
                  <c:v>-69.578497483227039</c:v>
                </c:pt>
                <c:pt idx="3">
                  <c:v>-67.408188433152375</c:v>
                </c:pt>
                <c:pt idx="4">
                  <c:v>-64.685308441752454</c:v>
                </c:pt>
                <c:pt idx="5">
                  <c:v>-61.572641126074053</c:v>
                </c:pt>
                <c:pt idx="6">
                  <c:v>-58.189623880089876</c:v>
                </c:pt>
                <c:pt idx="7">
                  <c:v>-54.619614665508315</c:v>
                </c:pt>
                <c:pt idx="8">
                  <c:v>-50.92033012819978</c:v>
                </c:pt>
                <c:pt idx="9">
                  <c:v>-47.132316439278597</c:v>
                </c:pt>
                <c:pt idx="10">
                  <c:v>-43.284834381696193</c:v>
                </c:pt>
                <c:pt idx="11">
                  <c:v>-39.399741654029604</c:v>
                </c:pt>
                <c:pt idx="12">
                  <c:v>-35.494028267050787</c:v>
                </c:pt>
                <c:pt idx="13">
                  <c:v>-31.581489384767099</c:v>
                </c:pt>
                <c:pt idx="14">
                  <c:v>-27.673853751802341</c:v>
                </c:pt>
                <c:pt idx="15">
                  <c:v>-23.781568795020871</c:v>
                </c:pt>
                <c:pt idx="16">
                  <c:v>-19.914368596715747</c:v>
                </c:pt>
                <c:pt idx="17">
                  <c:v>-16.081704525683616</c:v>
                </c:pt>
                <c:pt idx="18">
                  <c:v>-12.29308967249542</c:v>
                </c:pt>
                <c:pt idx="19">
                  <c:v>-8.5583903296618971</c:v>
                </c:pt>
                <c:pt idx="20">
                  <c:v>-4.8880861981339088</c:v>
                </c:pt>
                <c:pt idx="21">
                  <c:v>-1.293513054246191</c:v>
                </c:pt>
                <c:pt idx="22">
                  <c:v>2.2129044926694208</c:v>
                </c:pt>
                <c:pt idx="23">
                  <c:v>5.6174280114875952</c:v>
                </c:pt>
                <c:pt idx="24">
                  <c:v>8.9047916978582347</c:v>
                </c:pt>
                <c:pt idx="25">
                  <c:v>12.058010801238709</c:v>
                </c:pt>
                <c:pt idx="26">
                  <c:v>15.058231040196512</c:v>
                </c:pt>
                <c:pt idx="27">
                  <c:v>17.884648229213507</c:v>
                </c:pt>
                <c:pt idx="28">
                  <c:v>20.514538706069345</c:v>
                </c:pt>
                <c:pt idx="29">
                  <c:v>22.923451793999327</c:v>
                </c:pt>
                <c:pt idx="30">
                  <c:v>25.085621706751692</c:v>
                </c:pt>
                <c:pt idx="31">
                  <c:v>26.974652112276321</c:v>
                </c:pt>
                <c:pt idx="32">
                  <c:v>28.564504766406642</c:v>
                </c:pt>
                <c:pt idx="33">
                  <c:v>29.830778362072888</c:v>
                </c:pt>
                <c:pt idx="34">
                  <c:v>30.752195530302952</c:v>
                </c:pt>
                <c:pt idx="35">
                  <c:v>31.312137178212467</c:v>
                </c:pt>
                <c:pt idx="36">
                  <c:v>31.500000000000014</c:v>
                </c:pt>
                <c:pt idx="37">
                  <c:v>31.312137178212467</c:v>
                </c:pt>
                <c:pt idx="38">
                  <c:v>30.752195530302952</c:v>
                </c:pt>
                <c:pt idx="39">
                  <c:v>29.830778362072888</c:v>
                </c:pt>
                <c:pt idx="40">
                  <c:v>28.564504766406642</c:v>
                </c:pt>
                <c:pt idx="41">
                  <c:v>26.974652112276321</c:v>
                </c:pt>
                <c:pt idx="42">
                  <c:v>25.085621706751692</c:v>
                </c:pt>
                <c:pt idx="43">
                  <c:v>22.923451793999327</c:v>
                </c:pt>
                <c:pt idx="44">
                  <c:v>20.514538706069345</c:v>
                </c:pt>
                <c:pt idx="45">
                  <c:v>17.884648229213507</c:v>
                </c:pt>
                <c:pt idx="46">
                  <c:v>15.058231040196512</c:v>
                </c:pt>
                <c:pt idx="47">
                  <c:v>12.058010801238709</c:v>
                </c:pt>
                <c:pt idx="48">
                  <c:v>8.9047916978582347</c:v>
                </c:pt>
                <c:pt idx="49">
                  <c:v>5.6174280114875952</c:v>
                </c:pt>
                <c:pt idx="50">
                  <c:v>2.2129044926694208</c:v>
                </c:pt>
                <c:pt idx="51">
                  <c:v>-1.293513054246191</c:v>
                </c:pt>
                <c:pt idx="52">
                  <c:v>-4.8880861981339088</c:v>
                </c:pt>
                <c:pt idx="53">
                  <c:v>-8.5583903296618971</c:v>
                </c:pt>
                <c:pt idx="54">
                  <c:v>-12.29308967249542</c:v>
                </c:pt>
                <c:pt idx="55">
                  <c:v>-16.081704525683616</c:v>
                </c:pt>
                <c:pt idx="56">
                  <c:v>-19.914368596715747</c:v>
                </c:pt>
                <c:pt idx="57">
                  <c:v>-23.781568795020871</c:v>
                </c:pt>
                <c:pt idx="58">
                  <c:v>-27.673853751802341</c:v>
                </c:pt>
                <c:pt idx="59">
                  <c:v>-31.581489384767099</c:v>
                </c:pt>
                <c:pt idx="60">
                  <c:v>-35.494028267050787</c:v>
                </c:pt>
                <c:pt idx="61">
                  <c:v>-39.399741654029604</c:v>
                </c:pt>
                <c:pt idx="62">
                  <c:v>-43.284834381696193</c:v>
                </c:pt>
                <c:pt idx="63">
                  <c:v>-47.132316439278597</c:v>
                </c:pt>
                <c:pt idx="64">
                  <c:v>-50.92033012819978</c:v>
                </c:pt>
                <c:pt idx="65">
                  <c:v>-54.619614665508315</c:v>
                </c:pt>
                <c:pt idx="66">
                  <c:v>-58.189623880089876</c:v>
                </c:pt>
                <c:pt idx="67">
                  <c:v>-61.572641126074053</c:v>
                </c:pt>
                <c:pt idx="68">
                  <c:v>-64.685308441752454</c:v>
                </c:pt>
                <c:pt idx="69">
                  <c:v>-67.408188433152375</c:v>
                </c:pt>
                <c:pt idx="70">
                  <c:v>-69.578497483227039</c:v>
                </c:pt>
                <c:pt idx="71">
                  <c:v>-71.001164770681982</c:v>
                </c:pt>
                <c:pt idx="72">
                  <c:v>-71.5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0C-447C-818C-633B37AC3176}"/>
            </c:ext>
          </c:extLst>
        </c:ser>
        <c:ser>
          <c:idx val="12"/>
          <c:order val="12"/>
          <c:tx>
            <c:strRef>
              <c:f>Challenge11d!$AJ$1</c:f>
              <c:strCache>
                <c:ptCount val="1"/>
                <c:pt idx="0">
                  <c:v>Sec Cyan</c:v>
                </c:pt>
              </c:strCache>
            </c:strRef>
          </c:tx>
          <c:spPr>
            <a:ln w="28575" cap="rnd">
              <a:solidFill>
                <a:srgbClr val="08E8D8"/>
              </a:solidFill>
              <a:round/>
            </a:ln>
            <a:effectLst/>
          </c:spPr>
          <c:marker>
            <c:symbol val="none"/>
          </c:marker>
          <c:val>
            <c:numRef>
              <c:f>Challenge11d!$AJ$2:$AJ$74</c:f>
              <c:numCache>
                <c:formatCode>General</c:formatCode>
                <c:ptCount val="73"/>
                <c:pt idx="0">
                  <c:v>-72.000000000000014</c:v>
                </c:pt>
                <c:pt idx="1">
                  <c:v>-71.484672302001371</c:v>
                </c:pt>
                <c:pt idx="2">
                  <c:v>-70.019143208526685</c:v>
                </c:pt>
                <c:pt idx="3">
                  <c:v>-67.793089039526507</c:v>
                </c:pt>
                <c:pt idx="4">
                  <c:v>-65.012454673510689</c:v>
                </c:pt>
                <c:pt idx="5">
                  <c:v>-61.845515635288251</c:v>
                </c:pt>
                <c:pt idx="6">
                  <c:v>-58.413453884769218</c:v>
                </c:pt>
                <c:pt idx="7">
                  <c:v>-54.79959215302808</c:v>
                </c:pt>
                <c:pt idx="8">
                  <c:v>-51.060975585360936</c:v>
                </c:pt>
                <c:pt idx="9">
                  <c:v>-47.237350972966041</c:v>
                </c:pt>
                <c:pt idx="10">
                  <c:v>-43.357239385859906</c:v>
                </c:pt>
                <c:pt idx="11">
                  <c:v>-39.441869822025595</c:v>
                </c:pt>
                <c:pt idx="12">
                  <c:v>-35.507714881086663</c:v>
                </c:pt>
                <c:pt idx="13">
                  <c:v>-31.568148000154544</c:v>
                </c:pt>
                <c:pt idx="14">
                  <c:v>-27.634553802873512</c:v>
                </c:pt>
                <c:pt idx="15">
                  <c:v>-23.717097199824966</c:v>
                </c:pt>
                <c:pt idx="16">
                  <c:v>-19.825278587401399</c:v>
                </c:pt>
                <c:pt idx="17">
                  <c:v>-15.96835489334234</c:v>
                </c:pt>
                <c:pt idx="18">
                  <c:v>-12.155677255066841</c:v>
                </c:pt>
                <c:pt idx="19">
                  <c:v>-8.3969782103328079</c:v>
                </c:pt>
                <c:pt idx="20">
                  <c:v>-4.7026298246774889</c:v>
                </c:pt>
                <c:pt idx="21">
                  <c:v>-1.0838863578626845</c:v>
                </c:pt>
                <c:pt idx="22">
                  <c:v>2.4468809212098233</c:v>
                </c:pt>
                <c:pt idx="23">
                  <c:v>5.875954575171269</c:v>
                </c:pt>
                <c:pt idx="24">
                  <c:v>9.1880510901282069</c:v>
                </c:pt>
                <c:pt idx="25">
                  <c:v>12.366120764195115</c:v>
                </c:pt>
                <c:pt idx="26">
                  <c:v>15.391186630260496</c:v>
                </c:pt>
                <c:pt idx="27">
                  <c:v>18.242252299158771</c:v>
                </c:pt>
                <c:pt idx="28">
                  <c:v>20.896320681539333</c:v>
                </c:pt>
                <c:pt idx="29">
                  <c:v>23.328577179139636</c:v>
                </c:pt>
                <c:pt idx="30">
                  <c:v>25.512798259274096</c:v>
                </c:pt>
                <c:pt idx="31">
                  <c:v>27.422043094901149</c:v>
                </c:pt>
                <c:pt idx="32">
                  <c:v>29.02966427600002</c:v>
                </c:pt>
                <c:pt idx="33">
                  <c:v>30.310626788945633</c:v>
                </c:pt>
                <c:pt idx="34">
                  <c:v>31.243052419627308</c:v>
                </c:pt>
                <c:pt idx="35">
                  <c:v>31.809822174635627</c:v>
                </c:pt>
                <c:pt idx="36">
                  <c:v>32.000000000000014</c:v>
                </c:pt>
                <c:pt idx="37">
                  <c:v>31.809822174635627</c:v>
                </c:pt>
                <c:pt idx="38">
                  <c:v>31.243052419627308</c:v>
                </c:pt>
                <c:pt idx="39">
                  <c:v>30.310626788945633</c:v>
                </c:pt>
                <c:pt idx="40">
                  <c:v>29.02966427600002</c:v>
                </c:pt>
                <c:pt idx="41">
                  <c:v>27.422043094901149</c:v>
                </c:pt>
                <c:pt idx="42">
                  <c:v>25.512798259274096</c:v>
                </c:pt>
                <c:pt idx="43">
                  <c:v>23.328577179139636</c:v>
                </c:pt>
                <c:pt idx="44">
                  <c:v>20.896320681539333</c:v>
                </c:pt>
                <c:pt idx="45">
                  <c:v>18.242252299158771</c:v>
                </c:pt>
                <c:pt idx="46">
                  <c:v>15.391186630260496</c:v>
                </c:pt>
                <c:pt idx="47">
                  <c:v>12.366120764195115</c:v>
                </c:pt>
                <c:pt idx="48">
                  <c:v>9.1880510901282069</c:v>
                </c:pt>
                <c:pt idx="49">
                  <c:v>5.875954575171269</c:v>
                </c:pt>
                <c:pt idx="50">
                  <c:v>2.4468809212098233</c:v>
                </c:pt>
                <c:pt idx="51">
                  <c:v>-1.0838863578626845</c:v>
                </c:pt>
                <c:pt idx="52">
                  <c:v>-4.7026298246774889</c:v>
                </c:pt>
                <c:pt idx="53">
                  <c:v>-8.3969782103328079</c:v>
                </c:pt>
                <c:pt idx="54">
                  <c:v>-12.155677255066841</c:v>
                </c:pt>
                <c:pt idx="55">
                  <c:v>-15.96835489334234</c:v>
                </c:pt>
                <c:pt idx="56">
                  <c:v>-19.825278587401399</c:v>
                </c:pt>
                <c:pt idx="57">
                  <c:v>-23.717097199824966</c:v>
                </c:pt>
                <c:pt idx="58">
                  <c:v>-27.634553802873512</c:v>
                </c:pt>
                <c:pt idx="59">
                  <c:v>-31.568148000154544</c:v>
                </c:pt>
                <c:pt idx="60">
                  <c:v>-35.507714881086663</c:v>
                </c:pt>
                <c:pt idx="61">
                  <c:v>-39.441869822025595</c:v>
                </c:pt>
                <c:pt idx="62">
                  <c:v>-43.357239385859906</c:v>
                </c:pt>
                <c:pt idx="63">
                  <c:v>-47.237350972966041</c:v>
                </c:pt>
                <c:pt idx="64">
                  <c:v>-51.060975585360936</c:v>
                </c:pt>
                <c:pt idx="65">
                  <c:v>-54.79959215302808</c:v>
                </c:pt>
                <c:pt idx="66">
                  <c:v>-58.413453884769218</c:v>
                </c:pt>
                <c:pt idx="67">
                  <c:v>-61.845515635288251</c:v>
                </c:pt>
                <c:pt idx="68">
                  <c:v>-65.012454673510689</c:v>
                </c:pt>
                <c:pt idx="69">
                  <c:v>-67.793089039526507</c:v>
                </c:pt>
                <c:pt idx="70">
                  <c:v>-70.019143208526685</c:v>
                </c:pt>
                <c:pt idx="71">
                  <c:v>-71.484672302001371</c:v>
                </c:pt>
                <c:pt idx="72">
                  <c:v>-72.000000000000014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0C-447C-818C-633B37AC3176}"/>
            </c:ext>
          </c:extLst>
        </c:ser>
        <c:ser>
          <c:idx val="13"/>
          <c:order val="13"/>
          <c:tx>
            <c:strRef>
              <c:f>Challenge11d!$AK$1</c:f>
              <c:strCache>
                <c:ptCount val="1"/>
                <c:pt idx="0">
                  <c:v>Sec Blue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Challenge11d!$AK$2:$AK$74</c:f>
              <c:numCache>
                <c:formatCode>General</c:formatCode>
                <c:ptCount val="73"/>
                <c:pt idx="0">
                  <c:v>-72.499999999999986</c:v>
                </c:pt>
                <c:pt idx="1">
                  <c:v>-71.967312633837324</c:v>
                </c:pt>
                <c:pt idx="2">
                  <c:v>-70.457051113678048</c:v>
                </c:pt>
                <c:pt idx="3">
                  <c:v>-68.173562678332956</c:v>
                </c:pt>
                <c:pt idx="4">
                  <c:v>-65.33418058914107</c:v>
                </c:pt>
                <c:pt idx="5">
                  <c:v>-62.112614503090711</c:v>
                </c:pt>
                <c:pt idx="6">
                  <c:v>-58.631573939452821</c:v>
                </c:pt>
                <c:pt idx="7">
                  <c:v>-54.974162040200717</c:v>
                </c:pt>
                <c:pt idx="8">
                  <c:v>-51.196633455535981</c:v>
                </c:pt>
                <c:pt idx="9">
                  <c:v>-47.337866844729753</c:v>
                </c:pt>
                <c:pt idx="10">
                  <c:v>-43.42560610007456</c:v>
                </c:pt>
                <c:pt idx="11">
                  <c:v>-39.48043201084306</c:v>
                </c:pt>
                <c:pt idx="12">
                  <c:v>-35.518290162835953</c:v>
                </c:pt>
                <c:pt idx="13">
                  <c:v>-31.552127971250954</c:v>
                </c:pt>
                <c:pt idx="14">
                  <c:v>-27.592984377690424</c:v>
                </c:pt>
                <c:pt idx="15">
                  <c:v>-23.650741513844924</c:v>
                </c:pt>
                <c:pt idx="16">
                  <c:v>-19.734666320842408</c:v>
                </c:pt>
                <c:pt idx="17">
                  <c:v>-15.853821551467027</c:v>
                </c:pt>
                <c:pt idx="18">
                  <c:v>-12.017396425532276</c:v>
                </c:pt>
                <c:pt idx="19">
                  <c:v>-8.2349893722109506</c:v>
                </c:pt>
                <c:pt idx="20">
                  <c:v>-4.5168639827488377</c:v>
                </c:pt>
                <c:pt idx="21">
                  <c:v>-0.87419162426416364</c:v>
                </c:pt>
                <c:pt idx="22">
                  <c:v>2.6807116999250993</c:v>
                </c:pt>
                <c:pt idx="23">
                  <c:v>6.1341519825745623</c:v>
                </c:pt>
                <c:pt idx="24">
                  <c:v>9.4708308394247389</c:v>
                </c:pt>
                <c:pt idx="25">
                  <c:v>12.673636649553861</c:v>
                </c:pt>
                <c:pt idx="26">
                  <c:v>15.723472637344289</c:v>
                </c:pt>
                <c:pt idx="27">
                  <c:v>18.599152409810106</c:v>
                </c:pt>
                <c:pt idx="28">
                  <c:v>21.277406260570995</c:v>
                </c:pt>
                <c:pt idx="29">
                  <c:v>23.733054219048583</c:v>
                </c:pt>
                <c:pt idx="30">
                  <c:v>25.939410380472474</c:v>
                </c:pt>
                <c:pt idx="31">
                  <c:v>27.868980898469879</c:v>
                </c:pt>
                <c:pt idx="32">
                  <c:v>29.494496586169291</c:v>
                </c:pt>
                <c:pt idx="33">
                  <c:v>30.790272752515566</c:v>
                </c:pt>
                <c:pt idx="34">
                  <c:v>31.733812883180363</c:v>
                </c:pt>
                <c:pt idx="35">
                  <c:v>32.307482031602191</c:v>
                </c:pt>
                <c:pt idx="36">
                  <c:v>32.5</c:v>
                </c:pt>
                <c:pt idx="37">
                  <c:v>32.307482031602191</c:v>
                </c:pt>
                <c:pt idx="38">
                  <c:v>31.733812883180363</c:v>
                </c:pt>
                <c:pt idx="39">
                  <c:v>30.790272752515566</c:v>
                </c:pt>
                <c:pt idx="40">
                  <c:v>29.494496586169291</c:v>
                </c:pt>
                <c:pt idx="41">
                  <c:v>27.868980898469879</c:v>
                </c:pt>
                <c:pt idx="42">
                  <c:v>25.939410380472474</c:v>
                </c:pt>
                <c:pt idx="43">
                  <c:v>23.733054219048583</c:v>
                </c:pt>
                <c:pt idx="44">
                  <c:v>21.277406260570995</c:v>
                </c:pt>
                <c:pt idx="45">
                  <c:v>18.599152409810106</c:v>
                </c:pt>
                <c:pt idx="46">
                  <c:v>15.723472637344289</c:v>
                </c:pt>
                <c:pt idx="47">
                  <c:v>12.673636649553861</c:v>
                </c:pt>
                <c:pt idx="48">
                  <c:v>9.4708308394247389</c:v>
                </c:pt>
                <c:pt idx="49">
                  <c:v>6.1341519825745623</c:v>
                </c:pt>
                <c:pt idx="50">
                  <c:v>2.6807116999250993</c:v>
                </c:pt>
                <c:pt idx="51">
                  <c:v>-0.87419162426416364</c:v>
                </c:pt>
                <c:pt idx="52">
                  <c:v>-4.5168639827488377</c:v>
                </c:pt>
                <c:pt idx="53">
                  <c:v>-8.2349893722109506</c:v>
                </c:pt>
                <c:pt idx="54">
                  <c:v>-12.017396425532276</c:v>
                </c:pt>
                <c:pt idx="55">
                  <c:v>-15.853821551467027</c:v>
                </c:pt>
                <c:pt idx="56">
                  <c:v>-19.734666320842408</c:v>
                </c:pt>
                <c:pt idx="57">
                  <c:v>-23.650741513844924</c:v>
                </c:pt>
                <c:pt idx="58">
                  <c:v>-27.592984377690424</c:v>
                </c:pt>
                <c:pt idx="59">
                  <c:v>-31.552127971250954</c:v>
                </c:pt>
                <c:pt idx="60">
                  <c:v>-35.518290162835953</c:v>
                </c:pt>
                <c:pt idx="61">
                  <c:v>-39.48043201084306</c:v>
                </c:pt>
                <c:pt idx="62">
                  <c:v>-43.42560610007456</c:v>
                </c:pt>
                <c:pt idx="63">
                  <c:v>-47.337866844729753</c:v>
                </c:pt>
                <c:pt idx="64">
                  <c:v>-51.196633455535981</c:v>
                </c:pt>
                <c:pt idx="65">
                  <c:v>-54.974162040200717</c:v>
                </c:pt>
                <c:pt idx="66">
                  <c:v>-58.631573939452821</c:v>
                </c:pt>
                <c:pt idx="67">
                  <c:v>-62.112614503090711</c:v>
                </c:pt>
                <c:pt idx="68">
                  <c:v>-65.33418058914107</c:v>
                </c:pt>
                <c:pt idx="69">
                  <c:v>-68.173562678332956</c:v>
                </c:pt>
                <c:pt idx="70">
                  <c:v>-70.457051113678048</c:v>
                </c:pt>
                <c:pt idx="71">
                  <c:v>-71.967312633837324</c:v>
                </c:pt>
                <c:pt idx="72">
                  <c:v>-72.499999999999986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0C-447C-818C-633B37AC3176}"/>
            </c:ext>
          </c:extLst>
        </c:ser>
        <c:ser>
          <c:idx val="14"/>
          <c:order val="14"/>
          <c:tx>
            <c:strRef>
              <c:f>Challenge11d!$AL$1</c:f>
              <c:strCache>
                <c:ptCount val="1"/>
                <c:pt idx="0">
                  <c:v>Sec Violet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Challenge11d!$AL$2:$AL$74</c:f>
              <c:numCache>
                <c:formatCode>General</c:formatCode>
                <c:ptCount val="73"/>
                <c:pt idx="0">
                  <c:v>-73.000000000000014</c:v>
                </c:pt>
                <c:pt idx="1">
                  <c:v>-72.449014151966537</c:v>
                </c:pt>
                <c:pt idx="2">
                  <c:v>-70.892032706069259</c:v>
                </c:pt>
                <c:pt idx="3">
                  <c:v>-68.54937327900096</c:v>
                </c:pt>
                <c:pt idx="4">
                  <c:v>-65.650270583488265</c:v>
                </c:pt>
                <c:pt idx="5">
                  <c:v>-62.373769233441081</c:v>
                </c:pt>
                <c:pt idx="6">
                  <c:v>-58.843862977282669</c:v>
                </c:pt>
                <c:pt idx="7">
                  <c:v>-55.143241835534255</c:v>
                </c:pt>
                <c:pt idx="8">
                  <c:v>-51.327249988336078</c:v>
                </c:pt>
                <c:pt idx="9">
                  <c:v>-47.433830857518018</c:v>
                </c:pt>
                <c:pt idx="10">
                  <c:v>-43.489915719184594</c:v>
                </c:pt>
                <c:pt idx="11">
                  <c:v>-39.515419367490438</c:v>
                </c:pt>
                <c:pt idx="12">
                  <c:v>-35.525752077576655</c:v>
                </c:pt>
                <c:pt idx="13">
                  <c:v>-31.533431896121602</c:v>
                </c:pt>
                <c:pt idx="14">
                  <c:v>-27.549151200483237</c:v>
                </c:pt>
                <c:pt idx="15">
                  <c:v>-23.582509566466896</c:v>
                </c:pt>
                <c:pt idx="16">
                  <c:v>-19.642541060146929</c:v>
                </c:pt>
                <c:pt idx="17">
                  <c:v>-15.738114779258474</c:v>
                </c:pt>
                <c:pt idx="18">
                  <c:v>-11.878258246871386</c:v>
                </c:pt>
                <c:pt idx="19">
                  <c:v>-8.0724355643240031</c:v>
                </c:pt>
                <c:pt idx="20">
                  <c:v>-4.3308011043172314</c:v>
                </c:pt>
                <c:pt idx="21">
                  <c:v>-0.66444202546295505</c:v>
                </c:pt>
                <c:pt idx="22">
                  <c:v>2.9143828323310412</c:v>
                </c:pt>
                <c:pt idx="23">
                  <c:v>6.3920053353263482</c:v>
                </c:pt>
                <c:pt idx="24">
                  <c:v>9.7531151127501534</c:v>
                </c:pt>
                <c:pt idx="25">
                  <c:v>12.980541742808862</c:v>
                </c:pt>
                <c:pt idx="26">
                  <c:v>16.055071646712694</c:v>
                </c:pt>
                <c:pt idx="27">
                  <c:v>18.955330792830527</c:v>
                </c:pt>
                <c:pt idx="28">
                  <c:v>21.657777854119836</c:v>
                </c:pt>
                <c:pt idx="29">
                  <c:v>24.13686621183772</c:v>
                </c:pt>
                <c:pt idx="30">
                  <c:v>26.365443077148036</c:v>
                </c:pt>
                <c:pt idx="31">
                  <c:v>28.315453050225884</c:v>
                </c:pt>
                <c:pt idx="32">
                  <c:v>29.958992366338901</c:v>
                </c:pt>
                <c:pt idx="33">
                  <c:v>31.269710293772093</c:v>
                </c:pt>
                <c:pt idx="34">
                  <c:v>32.224474011708388</c:v>
                </c:pt>
                <c:pt idx="35">
                  <c:v>32.805115978585718</c:v>
                </c:pt>
                <c:pt idx="36">
                  <c:v>32.999999999999993</c:v>
                </c:pt>
                <c:pt idx="37">
                  <c:v>32.805115978585718</c:v>
                </c:pt>
                <c:pt idx="38">
                  <c:v>32.224474011708388</c:v>
                </c:pt>
                <c:pt idx="39">
                  <c:v>31.269710293772093</c:v>
                </c:pt>
                <c:pt idx="40">
                  <c:v>29.958992366338901</c:v>
                </c:pt>
                <c:pt idx="41">
                  <c:v>28.315453050225884</c:v>
                </c:pt>
                <c:pt idx="42">
                  <c:v>26.365443077148036</c:v>
                </c:pt>
                <c:pt idx="43">
                  <c:v>24.13686621183772</c:v>
                </c:pt>
                <c:pt idx="44">
                  <c:v>21.657777854119836</c:v>
                </c:pt>
                <c:pt idx="45">
                  <c:v>18.955330792830527</c:v>
                </c:pt>
                <c:pt idx="46">
                  <c:v>16.055071646712694</c:v>
                </c:pt>
                <c:pt idx="47">
                  <c:v>12.980541742808862</c:v>
                </c:pt>
                <c:pt idx="48">
                  <c:v>9.7531151127501534</c:v>
                </c:pt>
                <c:pt idx="49">
                  <c:v>6.3920053353263482</c:v>
                </c:pt>
                <c:pt idx="50">
                  <c:v>2.9143828323310412</c:v>
                </c:pt>
                <c:pt idx="51">
                  <c:v>-0.66444202546295505</c:v>
                </c:pt>
                <c:pt idx="52">
                  <c:v>-4.3308011043172314</c:v>
                </c:pt>
                <c:pt idx="53">
                  <c:v>-8.0724355643240031</c:v>
                </c:pt>
                <c:pt idx="54">
                  <c:v>-11.878258246871386</c:v>
                </c:pt>
                <c:pt idx="55">
                  <c:v>-15.738114779258474</c:v>
                </c:pt>
                <c:pt idx="56">
                  <c:v>-19.642541060146929</c:v>
                </c:pt>
                <c:pt idx="57">
                  <c:v>-23.582509566466896</c:v>
                </c:pt>
                <c:pt idx="58">
                  <c:v>-27.549151200483237</c:v>
                </c:pt>
                <c:pt idx="59">
                  <c:v>-31.533431896121602</c:v>
                </c:pt>
                <c:pt idx="60">
                  <c:v>-35.525752077576655</c:v>
                </c:pt>
                <c:pt idx="61">
                  <c:v>-39.515419367490438</c:v>
                </c:pt>
                <c:pt idx="62">
                  <c:v>-43.489915719184594</c:v>
                </c:pt>
                <c:pt idx="63">
                  <c:v>-47.433830857518018</c:v>
                </c:pt>
                <c:pt idx="64">
                  <c:v>-51.327249988336078</c:v>
                </c:pt>
                <c:pt idx="65">
                  <c:v>-55.143241835534255</c:v>
                </c:pt>
                <c:pt idx="66">
                  <c:v>-58.843862977282669</c:v>
                </c:pt>
                <c:pt idx="67">
                  <c:v>-62.373769233441081</c:v>
                </c:pt>
                <c:pt idx="68">
                  <c:v>-65.650270583488265</c:v>
                </c:pt>
                <c:pt idx="69">
                  <c:v>-68.54937327900096</c:v>
                </c:pt>
                <c:pt idx="70">
                  <c:v>-70.892032706069259</c:v>
                </c:pt>
                <c:pt idx="71">
                  <c:v>-72.449014151966537</c:v>
                </c:pt>
                <c:pt idx="72">
                  <c:v>-73.000000000000014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60C-447C-818C-633B37AC3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518687"/>
        <c:axId val="1745522527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Challenge11d!$L$1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Challenge11d!$L$2:$L$74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260C-447C-818C-633B37AC3176}"/>
                  </c:ext>
                </c:extLst>
              </c15:ser>
            </c15:filteredLineSeries>
          </c:ext>
        </c:extLst>
      </c:lineChart>
      <c:catAx>
        <c:axId val="1745518687"/>
        <c:scaling>
          <c:orientation val="minMax"/>
        </c:scaling>
        <c:delete val="1"/>
        <c:axPos val="b"/>
        <c:majorTickMark val="none"/>
        <c:minorTickMark val="none"/>
        <c:tickLblPos val="nextTo"/>
        <c:crossAx val="1745522527"/>
        <c:crosses val="autoZero"/>
        <c:auto val="1"/>
        <c:lblAlgn val="ctr"/>
        <c:lblOffset val="100"/>
        <c:noMultiLvlLbl val="0"/>
      </c:catAx>
      <c:valAx>
        <c:axId val="1745522527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1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Solar angle = 30 ˚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5"/>
          <c:order val="0"/>
          <c:tx>
            <c:strRef>
              <c:f>Challenge11d!$AQ$1</c:f>
              <c:strCache>
                <c:ptCount val="1"/>
                <c:pt idx="0">
                  <c:v>Prim Red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Challenge11d!$AQ$2:$AQ$74</c:f>
              <c:numCache>
                <c:formatCode>General</c:formatCode>
                <c:ptCount val="73"/>
                <c:pt idx="0">
                  <c:v>-72.000000000000014</c:v>
                </c:pt>
                <c:pt idx="1">
                  <c:v>-71.595533868532655</c:v>
                </c:pt>
                <c:pt idx="2">
                  <c:v>-70.433401681505813</c:v>
                </c:pt>
                <c:pt idx="3">
                  <c:v>-68.640118498653962</c:v>
                </c:pt>
                <c:pt idx="4">
                  <c:v>-66.36376373430501</c:v>
                </c:pt>
                <c:pt idx="5">
                  <c:v>-63.735834915219058</c:v>
                </c:pt>
                <c:pt idx="6">
                  <c:v>-60.858574362490813</c:v>
                </c:pt>
                <c:pt idx="7">
                  <c:v>-57.806971809776279</c:v>
                </c:pt>
                <c:pt idx="8">
                  <c:v>-54.635146885967082</c:v>
                </c:pt>
                <c:pt idx="9">
                  <c:v>-51.382469628387476</c:v>
                </c:pt>
                <c:pt idx="10">
                  <c:v>-48.078218889831199</c:v>
                </c:pt>
                <c:pt idx="11">
                  <c:v>-44.744846191815334</c:v>
                </c:pt>
                <c:pt idx="12">
                  <c:v>-41.400198534641348</c:v>
                </c:pt>
                <c:pt idx="13">
                  <c:v>-38.059027577172976</c:v>
                </c:pt>
                <c:pt idx="14">
                  <c:v>-34.734024794097913</c:v>
                </c:pt>
                <c:pt idx="15">
                  <c:v>-31.436544224675369</c:v>
                </c:pt>
                <c:pt idx="16">
                  <c:v>-28.177118452367097</c:v>
                </c:pt>
                <c:pt idx="17">
                  <c:v>-24.96583609983783</c:v>
                </c:pt>
                <c:pt idx="18">
                  <c:v>-21.812624776569763</c:v>
                </c:pt>
                <c:pt idx="19">
                  <c:v>-18.727467533155234</c:v>
                </c:pt>
                <c:pt idx="20">
                  <c:v>-15.720570333706766</c:v>
                </c:pt>
                <c:pt idx="21">
                  <c:v>-12.80249083858582</c:v>
                </c:pt>
                <c:pt idx="22">
                  <c:v>-9.9842336317133693</c:v>
                </c:pt>
                <c:pt idx="23">
                  <c:v>-7.2773131666121875</c:v>
                </c:pt>
                <c:pt idx="24">
                  <c:v>-4.6937827162768961</c:v>
                </c:pt>
                <c:pt idx="25">
                  <c:v>-2.2462253101057397</c:v>
                </c:pt>
                <c:pt idx="26">
                  <c:v>5.229896670872769E-2</c:v>
                </c:pt>
                <c:pt idx="27">
                  <c:v>2.1883556859699449</c:v>
                </c:pt>
                <c:pt idx="28">
                  <c:v>4.1482947846727454</c:v>
                </c:pt>
                <c:pt idx="29">
                  <c:v>5.9184693768012036</c:v>
                </c:pt>
                <c:pt idx="30">
                  <c:v>7.4855151206852799</c:v>
                </c:pt>
                <c:pt idx="31">
                  <c:v>8.8366850534397852</c:v>
                </c:pt>
                <c:pt idx="32">
                  <c:v>9.9602276490062085</c:v>
                </c:pt>
                <c:pt idx="33">
                  <c:v>10.845787880575545</c:v>
                </c:pt>
                <c:pt idx="34">
                  <c:v>11.484803628232237</c:v>
                </c:pt>
                <c:pt idx="35">
                  <c:v>11.870864622633933</c:v>
                </c:pt>
                <c:pt idx="36">
                  <c:v>12.000000000000007</c:v>
                </c:pt>
                <c:pt idx="37">
                  <c:v>11.870864622633933</c:v>
                </c:pt>
                <c:pt idx="38">
                  <c:v>11.484803628232237</c:v>
                </c:pt>
                <c:pt idx="39">
                  <c:v>10.845787880575545</c:v>
                </c:pt>
                <c:pt idx="40">
                  <c:v>9.9602276490062085</c:v>
                </c:pt>
                <c:pt idx="41">
                  <c:v>8.8366850534397852</c:v>
                </c:pt>
                <c:pt idx="42">
                  <c:v>7.4855151206852799</c:v>
                </c:pt>
                <c:pt idx="43">
                  <c:v>5.9184693768012036</c:v>
                </c:pt>
                <c:pt idx="44">
                  <c:v>4.1482947846727454</c:v>
                </c:pt>
                <c:pt idx="45">
                  <c:v>2.1883556859699449</c:v>
                </c:pt>
                <c:pt idx="46">
                  <c:v>5.229896670872769E-2</c:v>
                </c:pt>
                <c:pt idx="47">
                  <c:v>-2.2462253101057397</c:v>
                </c:pt>
                <c:pt idx="48">
                  <c:v>-4.6937827162768961</c:v>
                </c:pt>
                <c:pt idx="49">
                  <c:v>-7.2773131666121875</c:v>
                </c:pt>
                <c:pt idx="50">
                  <c:v>-9.9842336317133693</c:v>
                </c:pt>
                <c:pt idx="51">
                  <c:v>-12.80249083858582</c:v>
                </c:pt>
                <c:pt idx="52">
                  <c:v>-15.720570333706766</c:v>
                </c:pt>
                <c:pt idx="53">
                  <c:v>-18.727467533155234</c:v>
                </c:pt>
                <c:pt idx="54">
                  <c:v>-21.812624776569763</c:v>
                </c:pt>
                <c:pt idx="55">
                  <c:v>-24.96583609983783</c:v>
                </c:pt>
                <c:pt idx="56">
                  <c:v>-28.177118452367097</c:v>
                </c:pt>
                <c:pt idx="57">
                  <c:v>-31.436544224675369</c:v>
                </c:pt>
                <c:pt idx="58">
                  <c:v>-34.734024794097913</c:v>
                </c:pt>
                <c:pt idx="59">
                  <c:v>-38.059027577172976</c:v>
                </c:pt>
                <c:pt idx="60">
                  <c:v>-41.400198534641348</c:v>
                </c:pt>
                <c:pt idx="61">
                  <c:v>-44.744846191815334</c:v>
                </c:pt>
                <c:pt idx="62">
                  <c:v>-48.078218889831199</c:v>
                </c:pt>
                <c:pt idx="63">
                  <c:v>-51.382469628387476</c:v>
                </c:pt>
                <c:pt idx="64">
                  <c:v>-54.635146885967082</c:v>
                </c:pt>
                <c:pt idx="65">
                  <c:v>-57.806971809776279</c:v>
                </c:pt>
                <c:pt idx="66">
                  <c:v>-60.858574362490813</c:v>
                </c:pt>
                <c:pt idx="67">
                  <c:v>-63.735834915219058</c:v>
                </c:pt>
                <c:pt idx="68">
                  <c:v>-66.36376373430501</c:v>
                </c:pt>
                <c:pt idx="69">
                  <c:v>-68.640118498653962</c:v>
                </c:pt>
                <c:pt idx="70">
                  <c:v>-70.433401681505813</c:v>
                </c:pt>
                <c:pt idx="71">
                  <c:v>-71.595533868532655</c:v>
                </c:pt>
                <c:pt idx="72">
                  <c:v>-72.000000000000014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AF4-453F-9B40-918576F1F361}"/>
            </c:ext>
          </c:extLst>
        </c:ser>
        <c:ser>
          <c:idx val="16"/>
          <c:order val="1"/>
          <c:tx>
            <c:strRef>
              <c:f>Challenge11d!$AR$1</c:f>
              <c:strCache>
                <c:ptCount val="1"/>
                <c:pt idx="0">
                  <c:v>Prim Orange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val>
            <c:numRef>
              <c:f>Challenge11d!$AR$2:$AR$74</c:f>
              <c:numCache>
                <c:formatCode>General</c:formatCode>
                <c:ptCount val="73"/>
                <c:pt idx="0">
                  <c:v>-71.200000000000017</c:v>
                </c:pt>
                <c:pt idx="1">
                  <c:v>-70.817811093629814</c:v>
                </c:pt>
                <c:pt idx="2">
                  <c:v>-69.715535019636434</c:v>
                </c:pt>
                <c:pt idx="3">
                  <c:v>-68.004294044949276</c:v>
                </c:pt>
                <c:pt idx="4">
                  <c:v>-65.817798244686273</c:v>
                </c:pt>
                <c:pt idx="5">
                  <c:v>-63.278574491412066</c:v>
                </c:pt>
                <c:pt idx="6">
                  <c:v>-60.484744093617905</c:v>
                </c:pt>
                <c:pt idx="7">
                  <c:v>-57.510087068115254</c:v>
                </c:pt>
                <c:pt idx="8">
                  <c:v>-54.408905404664537</c:v>
                </c:pt>
                <c:pt idx="9">
                  <c:v>-51.221288039145669</c:v>
                </c:pt>
                <c:pt idx="10">
                  <c:v>-47.977361170839416</c:v>
                </c:pt>
                <c:pt idx="11">
                  <c:v>-44.700381248844913</c:v>
                </c:pt>
                <c:pt idx="12">
                  <c:v>-41.408898621586943</c:v>
                </c:pt>
                <c:pt idx="13">
                  <c:v>-38.118255707300321</c:v>
                </c:pt>
                <c:pt idx="14">
                  <c:v>-34.841629618575872</c:v>
                </c:pt>
                <c:pt idx="15">
                  <c:v>-31.590767760849314</c:v>
                </c:pt>
                <c:pt idx="16">
                  <c:v>-28.376516628062941</c:v>
                </c:pt>
                <c:pt idx="17">
                  <c:v>-25.209210087780782</c:v>
                </c:pt>
                <c:pt idx="18">
                  <c:v>-22.09896056797054</c:v>
                </c:pt>
                <c:pt idx="19">
                  <c:v>-19.05588126750726</c:v>
                </c:pt>
                <c:pt idx="20">
                  <c:v>-16.090257188430424</c:v>
                </c:pt>
                <c:pt idx="21">
                  <c:v>-13.212675641635217</c:v>
                </c:pt>
                <c:pt idx="22">
                  <c:v>-10.434121751243</c:v>
                </c:pt>
                <c:pt idx="23">
                  <c:v>-7.76604066002308</c:v>
                </c:pt>
                <c:pt idx="24">
                  <c:v>-5.220365211762263</c:v>
                </c:pt>
                <c:pt idx="25">
                  <c:v>-2.8095056765190662</c:v>
                </c:pt>
                <c:pt idx="26">
                  <c:v>-0.54629658971415584</c:v>
                </c:pt>
                <c:pt idx="27">
                  <c:v>1.5561048617049105</c:v>
                </c:pt>
                <c:pt idx="28">
                  <c:v>3.4843740057637307</c:v>
                </c:pt>
                <c:pt idx="29">
                  <c:v>5.2252306407644786</c:v>
                </c:pt>
                <c:pt idx="30">
                  <c:v>6.7657075159922444</c:v>
                </c:pt>
                <c:pt idx="31">
                  <c:v>8.0934698873711159</c:v>
                </c:pt>
                <c:pt idx="32">
                  <c:v>9.1971741134845661</c:v>
                </c:pt>
                <c:pt idx="33">
                  <c:v>10.066846032425298</c:v>
                </c:pt>
                <c:pt idx="34">
                  <c:v>10.694253234933868</c:v>
                </c:pt>
                <c:pt idx="35">
                  <c:v>11.073240889066492</c:v>
                </c:pt>
                <c:pt idx="36">
                  <c:v>11.200000000000006</c:v>
                </c:pt>
                <c:pt idx="37">
                  <c:v>11.073240889066492</c:v>
                </c:pt>
                <c:pt idx="38">
                  <c:v>10.694253234933868</c:v>
                </c:pt>
                <c:pt idx="39">
                  <c:v>10.066846032425298</c:v>
                </c:pt>
                <c:pt idx="40">
                  <c:v>9.1971741134845661</c:v>
                </c:pt>
                <c:pt idx="41">
                  <c:v>8.0934698873711159</c:v>
                </c:pt>
                <c:pt idx="42">
                  <c:v>6.7657075159922444</c:v>
                </c:pt>
                <c:pt idx="43">
                  <c:v>5.2252306407644786</c:v>
                </c:pt>
                <c:pt idx="44">
                  <c:v>3.4843740057637307</c:v>
                </c:pt>
                <c:pt idx="45">
                  <c:v>1.5561048617049105</c:v>
                </c:pt>
                <c:pt idx="46">
                  <c:v>-0.54629658971415584</c:v>
                </c:pt>
                <c:pt idx="47">
                  <c:v>-2.8095056765190662</c:v>
                </c:pt>
                <c:pt idx="48">
                  <c:v>-5.220365211762263</c:v>
                </c:pt>
                <c:pt idx="49">
                  <c:v>-7.76604066002308</c:v>
                </c:pt>
                <c:pt idx="50">
                  <c:v>-10.434121751243</c:v>
                </c:pt>
                <c:pt idx="51">
                  <c:v>-13.212675641635217</c:v>
                </c:pt>
                <c:pt idx="52">
                  <c:v>-16.090257188430424</c:v>
                </c:pt>
                <c:pt idx="53">
                  <c:v>-19.05588126750726</c:v>
                </c:pt>
                <c:pt idx="54">
                  <c:v>-22.09896056797054</c:v>
                </c:pt>
                <c:pt idx="55">
                  <c:v>-25.209210087780782</c:v>
                </c:pt>
                <c:pt idx="56">
                  <c:v>-28.376516628062941</c:v>
                </c:pt>
                <c:pt idx="57">
                  <c:v>-31.590767760849314</c:v>
                </c:pt>
                <c:pt idx="58">
                  <c:v>-34.841629618575872</c:v>
                </c:pt>
                <c:pt idx="59">
                  <c:v>-38.118255707300321</c:v>
                </c:pt>
                <c:pt idx="60">
                  <c:v>-41.408898621586943</c:v>
                </c:pt>
                <c:pt idx="61">
                  <c:v>-44.700381248844913</c:v>
                </c:pt>
                <c:pt idx="62">
                  <c:v>-47.977361170839416</c:v>
                </c:pt>
                <c:pt idx="63">
                  <c:v>-51.221288039145669</c:v>
                </c:pt>
                <c:pt idx="64">
                  <c:v>-54.408905404664537</c:v>
                </c:pt>
                <c:pt idx="65">
                  <c:v>-57.510087068115254</c:v>
                </c:pt>
                <c:pt idx="66">
                  <c:v>-60.484744093617905</c:v>
                </c:pt>
                <c:pt idx="67">
                  <c:v>-63.278574491412066</c:v>
                </c:pt>
                <c:pt idx="68">
                  <c:v>-65.817798244686273</c:v>
                </c:pt>
                <c:pt idx="69">
                  <c:v>-68.004294044949276</c:v>
                </c:pt>
                <c:pt idx="70">
                  <c:v>-69.715535019636434</c:v>
                </c:pt>
                <c:pt idx="71">
                  <c:v>-70.817811093629814</c:v>
                </c:pt>
                <c:pt idx="72">
                  <c:v>-71.200000000000017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AF4-453F-9B40-918576F1F361}"/>
            </c:ext>
          </c:extLst>
        </c:ser>
        <c:ser>
          <c:idx val="17"/>
          <c:order val="2"/>
          <c:tx>
            <c:strRef>
              <c:f>Challenge11d!$AS$1</c:f>
              <c:strCache>
                <c:ptCount val="1"/>
                <c:pt idx="0">
                  <c:v>Prim Yellow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val>
            <c:numRef>
              <c:f>Challenge11d!$AS$2:$AS$74</c:f>
              <c:numCache>
                <c:formatCode>General</c:formatCode>
                <c:ptCount val="73"/>
                <c:pt idx="0">
                  <c:v>-71.000000000000028</c:v>
                </c:pt>
                <c:pt idx="1">
                  <c:v>-70.623107222394381</c:v>
                </c:pt>
                <c:pt idx="2">
                  <c:v>-69.535155196999895</c:v>
                </c:pt>
                <c:pt idx="3">
                  <c:v>-67.84375561499111</c:v>
                </c:pt>
                <c:pt idx="4">
                  <c:v>-65.679239173931279</c:v>
                </c:pt>
                <c:pt idx="5">
                  <c:v>-63.161932021762446</c:v>
                </c:pt>
                <c:pt idx="6">
                  <c:v>-60.388881538101494</c:v>
                </c:pt>
                <c:pt idx="7">
                  <c:v>-57.433505549595864</c:v>
                </c:pt>
                <c:pt idx="8">
                  <c:v>-54.350102964038747</c:v>
                </c:pt>
                <c:pt idx="9">
                  <c:v>-51.178909092706427</c:v>
                </c:pt>
                <c:pt idx="10">
                  <c:v>-47.95024086967944</c:v>
                </c:pt>
                <c:pt idx="11">
                  <c:v>-44.687543177973154</c:v>
                </c:pt>
                <c:pt idx="12">
                  <c:v>-41.409534644587673</c:v>
                </c:pt>
                <c:pt idx="13">
                  <c:v>-38.131701004700112</c:v>
                </c:pt>
                <c:pt idx="14">
                  <c:v>-34.867338298139863</c:v>
                </c:pt>
                <c:pt idx="15">
                  <c:v>-31.62829088645665</c:v>
                </c:pt>
                <c:pt idx="16">
                  <c:v>-28.425482972728016</c:v>
                </c:pt>
                <c:pt idx="17">
                  <c:v>-25.269309297385622</c:v>
                </c:pt>
                <c:pt idx="18">
                  <c:v>-22.169928216604823</c:v>
                </c:pt>
                <c:pt idx="19">
                  <c:v>-19.137485257689235</c:v>
                </c:pt>
                <c:pt idx="20">
                  <c:v>-16.182284994832102</c:v>
                </c:pt>
                <c:pt idx="21">
                  <c:v>-13.314921971550508</c:v>
                </c:pt>
                <c:pt idx="22">
                  <c:v>-10.546376284031826</c:v>
                </c:pt>
                <c:pt idx="23">
                  <c:v>-7.8880756296666288</c:v>
                </c:pt>
                <c:pt idx="24">
                  <c:v>-5.3519227158163734</c:v>
                </c:pt>
                <c:pt idx="25">
                  <c:v>-2.950284736972383</c:v>
                </c:pt>
                <c:pt idx="26">
                  <c:v>-0.69594016054351837</c:v>
                </c:pt>
                <c:pt idx="27">
                  <c:v>1.3980225502548449</c:v>
                </c:pt>
                <c:pt idx="28">
                  <c:v>3.3183591647230259</c:v>
                </c:pt>
                <c:pt idx="29">
                  <c:v>5.0518798943562455</c:v>
                </c:pt>
                <c:pt idx="30">
                  <c:v>6.5857151550358264</c:v>
                </c:pt>
                <c:pt idx="31">
                  <c:v>7.9076313530299229</c:v>
                </c:pt>
                <c:pt idx="32">
                  <c:v>9.0063847198297804</c:v>
                </c:pt>
                <c:pt idx="33">
                  <c:v>9.8720941746136095</c:v>
                </c:pt>
                <c:pt idx="34">
                  <c:v>10.496607759781654</c:v>
                </c:pt>
                <c:pt idx="35">
                  <c:v>10.873832894877031</c:v>
                </c:pt>
                <c:pt idx="36">
                  <c:v>11.000000000000009</c:v>
                </c:pt>
                <c:pt idx="37">
                  <c:v>10.873832894877031</c:v>
                </c:pt>
                <c:pt idx="38">
                  <c:v>10.496607759781654</c:v>
                </c:pt>
                <c:pt idx="39">
                  <c:v>9.8720941746136095</c:v>
                </c:pt>
                <c:pt idx="40">
                  <c:v>9.0063847198297804</c:v>
                </c:pt>
                <c:pt idx="41">
                  <c:v>7.9076313530299229</c:v>
                </c:pt>
                <c:pt idx="42">
                  <c:v>6.5857151550358264</c:v>
                </c:pt>
                <c:pt idx="43">
                  <c:v>5.0518798943562455</c:v>
                </c:pt>
                <c:pt idx="44">
                  <c:v>3.3183591647230259</c:v>
                </c:pt>
                <c:pt idx="45">
                  <c:v>1.3980225502548449</c:v>
                </c:pt>
                <c:pt idx="46">
                  <c:v>-0.69594016054351837</c:v>
                </c:pt>
                <c:pt idx="47">
                  <c:v>-2.950284736972383</c:v>
                </c:pt>
                <c:pt idx="48">
                  <c:v>-5.3519227158163734</c:v>
                </c:pt>
                <c:pt idx="49">
                  <c:v>-7.8880756296666288</c:v>
                </c:pt>
                <c:pt idx="50">
                  <c:v>-10.546376284031826</c:v>
                </c:pt>
                <c:pt idx="51">
                  <c:v>-13.314921971550508</c:v>
                </c:pt>
                <c:pt idx="52">
                  <c:v>-16.182284994832102</c:v>
                </c:pt>
                <c:pt idx="53">
                  <c:v>-19.137485257689235</c:v>
                </c:pt>
                <c:pt idx="54">
                  <c:v>-22.169928216604823</c:v>
                </c:pt>
                <c:pt idx="55">
                  <c:v>-25.269309297385622</c:v>
                </c:pt>
                <c:pt idx="56">
                  <c:v>-28.425482972728016</c:v>
                </c:pt>
                <c:pt idx="57">
                  <c:v>-31.62829088645665</c:v>
                </c:pt>
                <c:pt idx="58">
                  <c:v>-34.867338298139863</c:v>
                </c:pt>
                <c:pt idx="59">
                  <c:v>-38.131701004700112</c:v>
                </c:pt>
                <c:pt idx="60">
                  <c:v>-41.409534644587673</c:v>
                </c:pt>
                <c:pt idx="61">
                  <c:v>-44.687543177973154</c:v>
                </c:pt>
                <c:pt idx="62">
                  <c:v>-47.95024086967944</c:v>
                </c:pt>
                <c:pt idx="63">
                  <c:v>-51.178909092706427</c:v>
                </c:pt>
                <c:pt idx="64">
                  <c:v>-54.350102964038747</c:v>
                </c:pt>
                <c:pt idx="65">
                  <c:v>-57.433505549595864</c:v>
                </c:pt>
                <c:pt idx="66">
                  <c:v>-60.388881538101494</c:v>
                </c:pt>
                <c:pt idx="67">
                  <c:v>-63.161932021762446</c:v>
                </c:pt>
                <c:pt idx="68">
                  <c:v>-65.679239173931279</c:v>
                </c:pt>
                <c:pt idx="69">
                  <c:v>-67.84375561499111</c:v>
                </c:pt>
                <c:pt idx="70">
                  <c:v>-69.535155196999895</c:v>
                </c:pt>
                <c:pt idx="71">
                  <c:v>-70.623107222394381</c:v>
                </c:pt>
                <c:pt idx="72">
                  <c:v>-71.000000000000028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2AF4-453F-9B40-918576F1F361}"/>
            </c:ext>
          </c:extLst>
        </c:ser>
        <c:ser>
          <c:idx val="18"/>
          <c:order val="3"/>
          <c:tx>
            <c:strRef>
              <c:f>Challenge11d!$AT$1</c:f>
              <c:strCache>
                <c:ptCount val="1"/>
                <c:pt idx="0">
                  <c:v>Prim Green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Challenge11d!$AT$2:$AT$74</c:f>
              <c:numCache>
                <c:formatCode>General</c:formatCode>
                <c:ptCount val="73"/>
                <c:pt idx="0">
                  <c:v>-70.700000000000017</c:v>
                </c:pt>
                <c:pt idx="1">
                  <c:v>-70.330859725654435</c:v>
                </c:pt>
                <c:pt idx="2">
                  <c:v>-69.263939326064389</c:v>
                </c:pt>
                <c:pt idx="3">
                  <c:v>-67.601816496593941</c:v>
                </c:pt>
                <c:pt idx="4">
                  <c:v>-65.469906690476904</c:v>
                </c:pt>
                <c:pt idx="5">
                  <c:v>-62.985271763932353</c:v>
                </c:pt>
                <c:pt idx="6">
                  <c:v>-60.243321762763713</c:v>
                </c:pt>
                <c:pt idx="7">
                  <c:v>-57.316890063280482</c:v>
                </c:pt>
                <c:pt idx="8">
                  <c:v>-54.260235848086261</c:v>
                </c:pt>
                <c:pt idx="9">
                  <c:v>-51.113789202837133</c:v>
                </c:pt>
                <c:pt idx="10">
                  <c:v>-47.90813709643156</c:v>
                </c:pt>
                <c:pt idx="11">
                  <c:v>-44.666997104562441</c:v>
                </c:pt>
                <c:pt idx="12">
                  <c:v>-41.409334261632665</c:v>
                </c:pt>
                <c:pt idx="13">
                  <c:v>-38.150845716263483</c:v>
                </c:pt>
                <c:pt idx="14">
                  <c:v>-34.905003817880484</c:v>
                </c:pt>
                <c:pt idx="15">
                  <c:v>-31.68379715728128</c:v>
                </c:pt>
                <c:pt idx="16">
                  <c:v>-28.498265801542384</c:v>
                </c:pt>
                <c:pt idx="17">
                  <c:v>-25.358895380821213</c:v>
                </c:pt>
                <c:pt idx="18">
                  <c:v>-22.27591287013005</c:v>
                </c:pt>
                <c:pt idx="19">
                  <c:v>-19.259512085504618</c:v>
                </c:pt>
                <c:pt idx="20">
                  <c:v>-16.320026785863075</c:v>
                </c:pt>
                <c:pt idx="21">
                  <c:v>-13.468062206912176</c:v>
                </c:pt>
                <c:pt idx="22">
                  <c:v>-10.714590767888772</c:v>
                </c:pt>
                <c:pt idx="23">
                  <c:v>-8.0710139040750128</c:v>
                </c:pt>
                <c:pt idx="24">
                  <c:v>-5.5491890959286332</c:v>
                </c:pt>
                <c:pt idx="25">
                  <c:v>-3.1614190135016407</c:v>
                </c:pt>
                <c:pt idx="26">
                  <c:v>-0.92039826670539482</c:v>
                </c:pt>
                <c:pt idx="27">
                  <c:v>1.1608873223687768</c:v>
                </c:pt>
                <c:pt idx="28">
                  <c:v>3.0693135032650272</c:v>
                </c:pt>
                <c:pt idx="29">
                  <c:v>4.7918251670625658</c:v>
                </c:pt>
                <c:pt idx="30">
                  <c:v>6.3156980350036349</c:v>
                </c:pt>
                <c:pt idx="31">
                  <c:v>7.6288488284526608</c:v>
                </c:pt>
                <c:pt idx="32">
                  <c:v>8.720182039676585</c:v>
                </c:pt>
                <c:pt idx="33">
                  <c:v>9.579954638237794</c:v>
                </c:pt>
                <c:pt idx="34">
                  <c:v>10.200133893268079</c:v>
                </c:pt>
                <c:pt idx="35">
                  <c:v>10.574719423138431</c:v>
                </c:pt>
                <c:pt idx="36">
                  <c:v>10.70000000000001</c:v>
                </c:pt>
                <c:pt idx="37">
                  <c:v>10.574719423138431</c:v>
                </c:pt>
                <c:pt idx="38">
                  <c:v>10.200133893268079</c:v>
                </c:pt>
                <c:pt idx="39">
                  <c:v>9.579954638237794</c:v>
                </c:pt>
                <c:pt idx="40">
                  <c:v>8.720182039676585</c:v>
                </c:pt>
                <c:pt idx="41">
                  <c:v>7.6288488284526608</c:v>
                </c:pt>
                <c:pt idx="42">
                  <c:v>6.3156980350036349</c:v>
                </c:pt>
                <c:pt idx="43">
                  <c:v>4.7918251670625658</c:v>
                </c:pt>
                <c:pt idx="44">
                  <c:v>3.0693135032650272</c:v>
                </c:pt>
                <c:pt idx="45">
                  <c:v>1.1608873223687768</c:v>
                </c:pt>
                <c:pt idx="46">
                  <c:v>-0.92039826670539482</c:v>
                </c:pt>
                <c:pt idx="47">
                  <c:v>-3.1614190135016407</c:v>
                </c:pt>
                <c:pt idx="48">
                  <c:v>-5.5491890959286332</c:v>
                </c:pt>
                <c:pt idx="49">
                  <c:v>-8.0710139040750128</c:v>
                </c:pt>
                <c:pt idx="50">
                  <c:v>-10.714590767888772</c:v>
                </c:pt>
                <c:pt idx="51">
                  <c:v>-13.468062206912176</c:v>
                </c:pt>
                <c:pt idx="52">
                  <c:v>-16.320026785863075</c:v>
                </c:pt>
                <c:pt idx="53">
                  <c:v>-19.259512085504618</c:v>
                </c:pt>
                <c:pt idx="54">
                  <c:v>-22.27591287013005</c:v>
                </c:pt>
                <c:pt idx="55">
                  <c:v>-25.358895380821213</c:v>
                </c:pt>
                <c:pt idx="56">
                  <c:v>-28.498265801542384</c:v>
                </c:pt>
                <c:pt idx="57">
                  <c:v>-31.68379715728128</c:v>
                </c:pt>
                <c:pt idx="58">
                  <c:v>-34.905003817880484</c:v>
                </c:pt>
                <c:pt idx="59">
                  <c:v>-38.150845716263483</c:v>
                </c:pt>
                <c:pt idx="60">
                  <c:v>-41.409334261632665</c:v>
                </c:pt>
                <c:pt idx="61">
                  <c:v>-44.666997104562441</c:v>
                </c:pt>
                <c:pt idx="62">
                  <c:v>-47.90813709643156</c:v>
                </c:pt>
                <c:pt idx="63">
                  <c:v>-51.113789202837133</c:v>
                </c:pt>
                <c:pt idx="64">
                  <c:v>-54.260235848086261</c:v>
                </c:pt>
                <c:pt idx="65">
                  <c:v>-57.316890063280482</c:v>
                </c:pt>
                <c:pt idx="66">
                  <c:v>-60.243321762763713</c:v>
                </c:pt>
                <c:pt idx="67">
                  <c:v>-62.985271763932353</c:v>
                </c:pt>
                <c:pt idx="68">
                  <c:v>-65.469906690476904</c:v>
                </c:pt>
                <c:pt idx="69">
                  <c:v>-67.601816496593941</c:v>
                </c:pt>
                <c:pt idx="70">
                  <c:v>-69.263939326064389</c:v>
                </c:pt>
                <c:pt idx="71">
                  <c:v>-70.330859725654435</c:v>
                </c:pt>
                <c:pt idx="72">
                  <c:v>-70.700000000000017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AF4-453F-9B40-918576F1F361}"/>
            </c:ext>
          </c:extLst>
        </c:ser>
        <c:ser>
          <c:idx val="19"/>
          <c:order val="4"/>
          <c:tx>
            <c:strRef>
              <c:f>Challenge11d!$AU$1</c:f>
              <c:strCache>
                <c:ptCount val="1"/>
                <c:pt idx="0">
                  <c:v>Prim Cyan</c:v>
                </c:pt>
              </c:strCache>
            </c:strRef>
          </c:tx>
          <c:spPr>
            <a:ln>
              <a:solidFill>
                <a:srgbClr val="08E8D8"/>
              </a:solidFill>
            </a:ln>
          </c:spPr>
          <c:marker>
            <c:symbol val="none"/>
          </c:marker>
          <c:val>
            <c:numRef>
              <c:f>Challenge11d!$AU$2:$AU$74</c:f>
              <c:numCache>
                <c:formatCode>General</c:formatCode>
                <c:ptCount val="73"/>
                <c:pt idx="0">
                  <c:v>-70.500000000000028</c:v>
                </c:pt>
                <c:pt idx="1">
                  <c:v>-70.135904660358406</c:v>
                </c:pt>
                <c:pt idx="2">
                  <c:v>-69.082711040013535</c:v>
                </c:pt>
                <c:pt idx="3">
                  <c:v>-67.439788351368222</c:v>
                </c:pt>
                <c:pt idx="4">
                  <c:v>-65.329375563690164</c:v>
                </c:pt>
                <c:pt idx="5">
                  <c:v>-62.866384488046812</c:v>
                </c:pt>
                <c:pt idx="6">
                  <c:v>-60.145118108692728</c:v>
                </c:pt>
                <c:pt idx="7">
                  <c:v>-57.237994024639789</c:v>
                </c:pt>
                <c:pt idx="8">
                  <c:v>-54.199222068671119</c:v>
                </c:pt>
                <c:pt idx="9">
                  <c:v>-51.069345762633766</c:v>
                </c:pt>
                <c:pt idx="10">
                  <c:v>-47.879121322457372</c:v>
                </c:pt>
                <c:pt idx="11">
                  <c:v>-44.652441363677795</c:v>
                </c:pt>
                <c:pt idx="12">
                  <c:v>-41.408431069270975</c:v>
                </c:pt>
                <c:pt idx="13">
                  <c:v>-38.1629260572509</c:v>
                </c:pt>
                <c:pt idx="14">
                  <c:v>-34.929514751651844</c:v>
                </c:pt>
                <c:pt idx="15">
                  <c:v>-31.72028103355883</c:v>
                </c:pt>
                <c:pt idx="16">
                  <c:v>-28.546341701810448</c:v>
                </c:pt>
                <c:pt idx="17">
                  <c:v>-25.418242667069727</c:v>
                </c:pt>
                <c:pt idx="18">
                  <c:v>-22.346256443799909</c:v>
                </c:pt>
                <c:pt idx="19">
                  <c:v>-19.340608887201846</c:v>
                </c:pt>
                <c:pt idx="20">
                  <c:v>-16.411653084837955</c:v>
                </c:pt>
                <c:pt idx="21">
                  <c:v>-13.570001287965743</c:v>
                </c:pt>
                <c:pt idx="22">
                  <c:v>-10.826620702979634</c:v>
                </c:pt>
                <c:pt idx="23">
                  <c:v>-8.1928951921049791</c:v>
                </c:pt>
                <c:pt idx="24">
                  <c:v>-5.6806520693301978</c:v>
                </c:pt>
                <c:pt idx="25">
                  <c:v>-3.3021510486428864</c:v>
                </c:pt>
                <c:pt idx="26">
                  <c:v>-1.0700309995494341</c:v>
                </c:pt>
                <c:pt idx="27">
                  <c:v>1.0027903855193967</c:v>
                </c:pt>
                <c:pt idx="28">
                  <c:v>2.9032683880161416</c:v>
                </c:pt>
                <c:pt idx="29">
                  <c:v>4.6184370598945286</c:v>
                </c:pt>
                <c:pt idx="30">
                  <c:v>6.1356681999752611</c:v>
                </c:pt>
                <c:pt idx="31">
                  <c:v>7.4429778058111076</c:v>
                </c:pt>
                <c:pt idx="32">
                  <c:v>8.5293681867131514</c:v>
                </c:pt>
                <c:pt idx="33">
                  <c:v>9.3851873089707034</c:v>
                </c:pt>
                <c:pt idx="34">
                  <c:v>10.002480970022903</c:v>
                </c:pt>
                <c:pt idx="35">
                  <c:v>10.375309478171356</c:v>
                </c:pt>
                <c:pt idx="36">
                  <c:v>10.500000000000011</c:v>
                </c:pt>
                <c:pt idx="37">
                  <c:v>10.375309478171356</c:v>
                </c:pt>
                <c:pt idx="38">
                  <c:v>10.002480970022903</c:v>
                </c:pt>
                <c:pt idx="39">
                  <c:v>9.3851873089707034</c:v>
                </c:pt>
                <c:pt idx="40">
                  <c:v>8.5293681867131514</c:v>
                </c:pt>
                <c:pt idx="41">
                  <c:v>7.4429778058111076</c:v>
                </c:pt>
                <c:pt idx="42">
                  <c:v>6.1356681999752611</c:v>
                </c:pt>
                <c:pt idx="43">
                  <c:v>4.6184370598945286</c:v>
                </c:pt>
                <c:pt idx="44">
                  <c:v>2.9032683880161416</c:v>
                </c:pt>
                <c:pt idx="45">
                  <c:v>1.0027903855193967</c:v>
                </c:pt>
                <c:pt idx="46">
                  <c:v>-1.0700309995494341</c:v>
                </c:pt>
                <c:pt idx="47">
                  <c:v>-3.3021510486428864</c:v>
                </c:pt>
                <c:pt idx="48">
                  <c:v>-5.6806520693301978</c:v>
                </c:pt>
                <c:pt idx="49">
                  <c:v>-8.1928951921049791</c:v>
                </c:pt>
                <c:pt idx="50">
                  <c:v>-10.826620702979634</c:v>
                </c:pt>
                <c:pt idx="51">
                  <c:v>-13.570001287965743</c:v>
                </c:pt>
                <c:pt idx="52">
                  <c:v>-16.411653084837955</c:v>
                </c:pt>
                <c:pt idx="53">
                  <c:v>-19.340608887201846</c:v>
                </c:pt>
                <c:pt idx="54">
                  <c:v>-22.346256443799909</c:v>
                </c:pt>
                <c:pt idx="55">
                  <c:v>-25.418242667069727</c:v>
                </c:pt>
                <c:pt idx="56">
                  <c:v>-28.546341701810448</c:v>
                </c:pt>
                <c:pt idx="57">
                  <c:v>-31.72028103355883</c:v>
                </c:pt>
                <c:pt idx="58">
                  <c:v>-34.929514751651844</c:v>
                </c:pt>
                <c:pt idx="59">
                  <c:v>-38.1629260572509</c:v>
                </c:pt>
                <c:pt idx="60">
                  <c:v>-41.408431069270975</c:v>
                </c:pt>
                <c:pt idx="61">
                  <c:v>-44.652441363677795</c:v>
                </c:pt>
                <c:pt idx="62">
                  <c:v>-47.879121322457372</c:v>
                </c:pt>
                <c:pt idx="63">
                  <c:v>-51.069345762633766</c:v>
                </c:pt>
                <c:pt idx="64">
                  <c:v>-54.199222068671119</c:v>
                </c:pt>
                <c:pt idx="65">
                  <c:v>-57.237994024639789</c:v>
                </c:pt>
                <c:pt idx="66">
                  <c:v>-60.145118108692728</c:v>
                </c:pt>
                <c:pt idx="67">
                  <c:v>-62.866384488046812</c:v>
                </c:pt>
                <c:pt idx="68">
                  <c:v>-65.329375563690164</c:v>
                </c:pt>
                <c:pt idx="69">
                  <c:v>-67.439788351368222</c:v>
                </c:pt>
                <c:pt idx="70">
                  <c:v>-69.082711040013535</c:v>
                </c:pt>
                <c:pt idx="71">
                  <c:v>-70.135904660358406</c:v>
                </c:pt>
                <c:pt idx="72">
                  <c:v>-70.500000000000028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AF4-453F-9B40-918576F1F361}"/>
            </c:ext>
          </c:extLst>
        </c:ser>
        <c:ser>
          <c:idx val="20"/>
          <c:order val="5"/>
          <c:tx>
            <c:strRef>
              <c:f>Challenge11d!$AV$1</c:f>
              <c:strCache>
                <c:ptCount val="1"/>
                <c:pt idx="0">
                  <c:v>Prim Blue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val>
            <c:numRef>
              <c:f>Challenge11d!$AV$2:$AV$74</c:f>
              <c:numCache>
                <c:formatCode>General</c:formatCode>
                <c:ptCount val="73"/>
                <c:pt idx="0">
                  <c:v>-70.2</c:v>
                </c:pt>
                <c:pt idx="1">
                  <c:v>-69.843294131748777</c:v>
                </c:pt>
                <c:pt idx="2">
                  <c:v>-68.810263522561897</c:v>
                </c:pt>
                <c:pt idx="3">
                  <c:v>-67.195674454986786</c:v>
                </c:pt>
                <c:pt idx="4">
                  <c:v>-65.117147852595906</c:v>
                </c:pt>
                <c:pt idx="5">
                  <c:v>-62.686412148282479</c:v>
                </c:pt>
                <c:pt idx="6">
                  <c:v>-59.996089946061815</c:v>
                </c:pt>
                <c:pt idx="7">
                  <c:v>-57.117938169129069</c:v>
                </c:pt>
                <c:pt idx="8">
                  <c:v>-54.106059274292704</c:v>
                </c:pt>
                <c:pt idx="9">
                  <c:v>-51.001142544884637</c:v>
                </c:pt>
                <c:pt idx="10">
                  <c:v>-47.8341818168619</c:v>
                </c:pt>
                <c:pt idx="11">
                  <c:v>-44.629321947479262</c:v>
                </c:pt>
                <c:pt idx="12">
                  <c:v>-41.405921966841881</c:v>
                </c:pt>
                <c:pt idx="13">
                  <c:v>-38.180021323007587</c:v>
                </c:pt>
                <c:pt idx="14">
                  <c:v>-34.965380222742084</c:v>
                </c:pt>
                <c:pt idx="15">
                  <c:v>-31.774224087580013</c:v>
                </c:pt>
                <c:pt idx="16">
                  <c:v>-28.61778397136418</c:v>
                </c:pt>
                <c:pt idx="17">
                  <c:v>-25.506695679766871</c:v>
                </c:pt>
                <c:pt idx="18">
                  <c:v>-22.45129968501049</c:v>
                </c:pt>
                <c:pt idx="19">
                  <c:v>-19.461869640865459</c:v>
                </c:pt>
                <c:pt idx="20">
                  <c:v>-16.548787414882703</c:v>
                </c:pt>
                <c:pt idx="21">
                  <c:v>-13.722675598613755</c:v>
                </c:pt>
                <c:pt idx="22">
                  <c:v>-10.994493428295597</c:v>
                </c:pt>
                <c:pt idx="23">
                  <c:v>-8.3755983049120211</c:v>
                </c:pt>
                <c:pt idx="24">
                  <c:v>-5.8777722691001424</c:v>
                </c:pt>
                <c:pt idx="25">
                  <c:v>-3.5132106925005417</c:v>
                </c:pt>
                <c:pt idx="26">
                  <c:v>-1.2944690833855637</c:v>
                </c:pt>
                <c:pt idx="27">
                  <c:v>0.76563661142161954</c:v>
                </c:pt>
                <c:pt idx="28">
                  <c:v>2.6541802882367338</c:v>
                </c:pt>
                <c:pt idx="29">
                  <c:v>4.3583288044174457</c:v>
                </c:pt>
                <c:pt idx="30">
                  <c:v>5.8655968925778552</c:v>
                </c:pt>
                <c:pt idx="31">
                  <c:v>7.1641480747144026</c:v>
                </c:pt>
                <c:pt idx="32">
                  <c:v>8.2431298656774885</c:v>
                </c:pt>
                <c:pt idx="33">
                  <c:v>9.0930251895867311</c:v>
                </c:pt>
                <c:pt idx="34">
                  <c:v>9.7059962206651225</c:v>
                </c:pt>
                <c:pt idx="35">
                  <c:v>10.076193154469129</c:v>
                </c:pt>
                <c:pt idx="36">
                  <c:v>10.200000000000014</c:v>
                </c:pt>
                <c:pt idx="37">
                  <c:v>10.076193154469129</c:v>
                </c:pt>
                <c:pt idx="38">
                  <c:v>9.7059962206651225</c:v>
                </c:pt>
                <c:pt idx="39">
                  <c:v>9.0930251895867311</c:v>
                </c:pt>
                <c:pt idx="40">
                  <c:v>8.2431298656774885</c:v>
                </c:pt>
                <c:pt idx="41">
                  <c:v>7.1641480747144026</c:v>
                </c:pt>
                <c:pt idx="42">
                  <c:v>5.8655968925778552</c:v>
                </c:pt>
                <c:pt idx="43">
                  <c:v>4.3583288044174457</c:v>
                </c:pt>
                <c:pt idx="44">
                  <c:v>2.6541802882367338</c:v>
                </c:pt>
                <c:pt idx="45">
                  <c:v>0.76563661142161954</c:v>
                </c:pt>
                <c:pt idx="46">
                  <c:v>-1.2944690833855637</c:v>
                </c:pt>
                <c:pt idx="47">
                  <c:v>-3.5132106925005417</c:v>
                </c:pt>
                <c:pt idx="48">
                  <c:v>-5.8777722691001424</c:v>
                </c:pt>
                <c:pt idx="49">
                  <c:v>-8.3755983049120211</c:v>
                </c:pt>
                <c:pt idx="50">
                  <c:v>-10.994493428295597</c:v>
                </c:pt>
                <c:pt idx="51">
                  <c:v>-13.722675598613755</c:v>
                </c:pt>
                <c:pt idx="52">
                  <c:v>-16.548787414882703</c:v>
                </c:pt>
                <c:pt idx="53">
                  <c:v>-19.461869640865459</c:v>
                </c:pt>
                <c:pt idx="54">
                  <c:v>-22.45129968501049</c:v>
                </c:pt>
                <c:pt idx="55">
                  <c:v>-25.506695679766871</c:v>
                </c:pt>
                <c:pt idx="56">
                  <c:v>-28.61778397136418</c:v>
                </c:pt>
                <c:pt idx="57">
                  <c:v>-31.774224087580013</c:v>
                </c:pt>
                <c:pt idx="58">
                  <c:v>-34.965380222742084</c:v>
                </c:pt>
                <c:pt idx="59">
                  <c:v>-38.180021323007587</c:v>
                </c:pt>
                <c:pt idx="60">
                  <c:v>-41.405921966841881</c:v>
                </c:pt>
                <c:pt idx="61">
                  <c:v>-44.629321947479262</c:v>
                </c:pt>
                <c:pt idx="62">
                  <c:v>-47.8341818168619</c:v>
                </c:pt>
                <c:pt idx="63">
                  <c:v>-51.001142544884637</c:v>
                </c:pt>
                <c:pt idx="64">
                  <c:v>-54.106059274292704</c:v>
                </c:pt>
                <c:pt idx="65">
                  <c:v>-57.117938169129069</c:v>
                </c:pt>
                <c:pt idx="66">
                  <c:v>-59.996089946061815</c:v>
                </c:pt>
                <c:pt idx="67">
                  <c:v>-62.686412148282479</c:v>
                </c:pt>
                <c:pt idx="68">
                  <c:v>-65.117147852595906</c:v>
                </c:pt>
                <c:pt idx="69">
                  <c:v>-67.195674454986786</c:v>
                </c:pt>
                <c:pt idx="70">
                  <c:v>-68.810263522561897</c:v>
                </c:pt>
                <c:pt idx="71">
                  <c:v>-69.843294131748777</c:v>
                </c:pt>
                <c:pt idx="72">
                  <c:v>-70.2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AF4-453F-9B40-918576F1F361}"/>
            </c:ext>
          </c:extLst>
        </c:ser>
        <c:ser>
          <c:idx val="21"/>
          <c:order val="6"/>
          <c:tx>
            <c:strRef>
              <c:f>Challenge11d!$AW$1</c:f>
              <c:strCache>
                <c:ptCount val="1"/>
                <c:pt idx="0">
                  <c:v>Prim Violet 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Challenge11d!$AW$2:$AW$74</c:f>
              <c:numCache>
                <c:formatCode>General</c:formatCode>
                <c:ptCount val="73"/>
                <c:pt idx="0">
                  <c:v>-70.000000000000014</c:v>
                </c:pt>
                <c:pt idx="1">
                  <c:v>-69.648105810489241</c:v>
                </c:pt>
                <c:pt idx="2">
                  <c:v>-68.628240471513763</c:v>
                </c:pt>
                <c:pt idx="3">
                  <c:v>-67.032235164649933</c:v>
                </c:pt>
                <c:pt idx="4">
                  <c:v>-64.974727639567831</c:v>
                </c:pt>
                <c:pt idx="5">
                  <c:v>-62.56535313865119</c:v>
                </c:pt>
                <c:pt idx="6">
                  <c:v>-59.895602749037515</c:v>
                </c:pt>
                <c:pt idx="7">
                  <c:v>-57.03676954113989</c:v>
                </c:pt>
                <c:pt idx="8">
                  <c:v>-54.042862722773172</c:v>
                </c:pt>
                <c:pt idx="9">
                  <c:v>-50.954652641563683</c:v>
                </c:pt>
                <c:pt idx="10">
                  <c:v>-47.803280676855039</c:v>
                </c:pt>
                <c:pt idx="11">
                  <c:v>-44.613052868854169</c:v>
                </c:pt>
                <c:pt idx="12">
                  <c:v>-41.403479788355121</c:v>
                </c:pt>
                <c:pt idx="13">
                  <c:v>-38.190734093618978</c:v>
                </c:pt>
                <c:pt idx="14">
                  <c:v>-34.988688884709909</c:v>
                </c:pt>
                <c:pt idx="15">
                  <c:v>-31.809662954755957</c:v>
                </c:pt>
                <c:pt idx="16">
                  <c:v>-28.664962921309773</c:v>
                </c:pt>
                <c:pt idx="17">
                  <c:v>-25.565284136249993</c:v>
                </c:pt>
                <c:pt idx="18">
                  <c:v>-22.521012118110992</c:v>
                </c:pt>
                <c:pt idx="19">
                  <c:v>-19.542452195085904</c:v>
                </c:pt>
                <c:pt idx="20">
                  <c:v>-16.64000526681416</c:v>
                </c:pt>
                <c:pt idx="21">
                  <c:v>-13.824300687906099</c:v>
                </c:pt>
                <c:pt idx="22">
                  <c:v>-11.106292275395781</c:v>
                </c:pt>
                <c:pt idx="23">
                  <c:v>-8.4973197190822951</c:v>
                </c:pt>
                <c:pt idx="24">
                  <c:v>-6.0091348609708373</c:v>
                </c:pt>
                <c:pt idx="25">
                  <c:v>-3.65389023965685</c:v>
                </c:pt>
                <c:pt idx="26">
                  <c:v>-1.4440859568224953</c:v>
                </c:pt>
                <c:pt idx="27">
                  <c:v>0.60752957067288249</c:v>
                </c:pt>
                <c:pt idx="28">
                  <c:v>2.4881088601414065</c:v>
                </c:pt>
                <c:pt idx="29">
                  <c:v>4.1849066834071724</c:v>
                </c:pt>
                <c:pt idx="30">
                  <c:v>5.6855322776918538</c:v>
                </c:pt>
                <c:pt idx="31">
                  <c:v>6.978246594461921</c:v>
                </c:pt>
                <c:pt idx="32">
                  <c:v>8.0522929477057765</c:v>
                </c:pt>
                <c:pt idx="33">
                  <c:v>8.8982432189977505</c:v>
                </c:pt>
                <c:pt idx="34">
                  <c:v>9.5083362340019395</c:v>
                </c:pt>
                <c:pt idx="35">
                  <c:v>9.8767813573792314</c:v>
                </c:pt>
                <c:pt idx="36">
                  <c:v>10.000000000000005</c:v>
                </c:pt>
                <c:pt idx="37">
                  <c:v>9.8767813573792314</c:v>
                </c:pt>
                <c:pt idx="38">
                  <c:v>9.5083362340019395</c:v>
                </c:pt>
                <c:pt idx="39">
                  <c:v>8.8982432189977505</c:v>
                </c:pt>
                <c:pt idx="40">
                  <c:v>8.0522929477057765</c:v>
                </c:pt>
                <c:pt idx="41">
                  <c:v>6.978246594461921</c:v>
                </c:pt>
                <c:pt idx="42">
                  <c:v>5.6855322776918538</c:v>
                </c:pt>
                <c:pt idx="43">
                  <c:v>4.1849066834071724</c:v>
                </c:pt>
                <c:pt idx="44">
                  <c:v>2.4881088601414065</c:v>
                </c:pt>
                <c:pt idx="45">
                  <c:v>0.60752957067288249</c:v>
                </c:pt>
                <c:pt idx="46">
                  <c:v>-1.4440859568224953</c:v>
                </c:pt>
                <c:pt idx="47">
                  <c:v>-3.65389023965685</c:v>
                </c:pt>
                <c:pt idx="48">
                  <c:v>-6.0091348609708373</c:v>
                </c:pt>
                <c:pt idx="49">
                  <c:v>-8.4973197190822951</c:v>
                </c:pt>
                <c:pt idx="50">
                  <c:v>-11.106292275395781</c:v>
                </c:pt>
                <c:pt idx="51">
                  <c:v>-13.824300687906099</c:v>
                </c:pt>
                <c:pt idx="52">
                  <c:v>-16.64000526681416</c:v>
                </c:pt>
                <c:pt idx="53">
                  <c:v>-19.542452195085904</c:v>
                </c:pt>
                <c:pt idx="54">
                  <c:v>-22.521012118110992</c:v>
                </c:pt>
                <c:pt idx="55">
                  <c:v>-25.565284136249993</c:v>
                </c:pt>
                <c:pt idx="56">
                  <c:v>-28.664962921309773</c:v>
                </c:pt>
                <c:pt idx="57">
                  <c:v>-31.809662954755957</c:v>
                </c:pt>
                <c:pt idx="58">
                  <c:v>-34.988688884709909</c:v>
                </c:pt>
                <c:pt idx="59">
                  <c:v>-38.190734093618978</c:v>
                </c:pt>
                <c:pt idx="60">
                  <c:v>-41.403479788355121</c:v>
                </c:pt>
                <c:pt idx="61">
                  <c:v>-44.613052868854169</c:v>
                </c:pt>
                <c:pt idx="62">
                  <c:v>-47.803280676855039</c:v>
                </c:pt>
                <c:pt idx="63">
                  <c:v>-50.954652641563683</c:v>
                </c:pt>
                <c:pt idx="64">
                  <c:v>-54.042862722773172</c:v>
                </c:pt>
                <c:pt idx="65">
                  <c:v>-57.03676954113989</c:v>
                </c:pt>
                <c:pt idx="66">
                  <c:v>-59.895602749037515</c:v>
                </c:pt>
                <c:pt idx="67">
                  <c:v>-62.56535313865119</c:v>
                </c:pt>
                <c:pt idx="68">
                  <c:v>-64.974727639567831</c:v>
                </c:pt>
                <c:pt idx="69">
                  <c:v>-67.032235164649933</c:v>
                </c:pt>
                <c:pt idx="70">
                  <c:v>-68.628240471513763</c:v>
                </c:pt>
                <c:pt idx="71">
                  <c:v>-69.648105810489241</c:v>
                </c:pt>
                <c:pt idx="72">
                  <c:v>-70.000000000000014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AF4-453F-9B40-918576F1F361}"/>
            </c:ext>
          </c:extLst>
        </c:ser>
        <c:ser>
          <c:idx val="23"/>
          <c:order val="8"/>
          <c:tx>
            <c:strRef>
              <c:f>Challenge11d!$AY$1</c:f>
              <c:strCache>
                <c:ptCount val="1"/>
                <c:pt idx="0">
                  <c:v>Sec Red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Challenge11d!$AY$2:$AY$74</c:f>
              <c:numCache>
                <c:formatCode>General</c:formatCode>
                <c:ptCount val="73"/>
                <c:pt idx="0">
                  <c:v>-80.000000000000028</c:v>
                </c:pt>
                <c:pt idx="1">
                  <c:v>-79.198780628828516</c:v>
                </c:pt>
                <c:pt idx="2">
                  <c:v>-77.091741299868573</c:v>
                </c:pt>
                <c:pt idx="3">
                  <c:v>-74.196733910815666</c:v>
                </c:pt>
                <c:pt idx="4">
                  <c:v>-70.873767137767061</c:v>
                </c:pt>
                <c:pt idx="5">
                  <c:v>-67.316774554931342</c:v>
                </c:pt>
                <c:pt idx="6">
                  <c:v>-63.62776707186589</c:v>
                </c:pt>
                <c:pt idx="7">
                  <c:v>-59.863378649840783</c:v>
                </c:pt>
                <c:pt idx="8">
                  <c:v>-56.057503314233777</c:v>
                </c:pt>
                <c:pt idx="9">
                  <c:v>-52.232103403067164</c:v>
                </c:pt>
                <c:pt idx="10">
                  <c:v>-48.402587319964539</c:v>
                </c:pt>
                <c:pt idx="11">
                  <c:v>-44.580639252974407</c:v>
                </c:pt>
                <c:pt idx="12">
                  <c:v>-40.775797349647618</c:v>
                </c:pt>
                <c:pt idx="13">
                  <c:v>-36.996386528754634</c:v>
                </c:pt>
                <c:pt idx="14">
                  <c:v>-33.250103382209176</c:v>
                </c:pt>
                <c:pt idx="15">
                  <c:v>-29.544406310055589</c:v>
                </c:pt>
                <c:pt idx="16">
                  <c:v>-25.886793277212384</c:v>
                </c:pt>
                <c:pt idx="17">
                  <c:v>-22.285013192510576</c:v>
                </c:pt>
                <c:pt idx="18">
                  <c:v>-18.7472372510375</c:v>
                </c:pt>
                <c:pt idx="19">
                  <c:v>-15.282205340569252</c:v>
                </c:pt>
                <c:pt idx="20">
                  <c:v>-11.89935568874974</c:v>
                </c:pt>
                <c:pt idx="21">
                  <c:v>-8.6089411926898549</c:v>
                </c:pt>
                <c:pt idx="22">
                  <c:v>-5.4221321701251952</c:v>
                </c:pt>
                <c:pt idx="23">
                  <c:v>-2.3511019520828889</c:v>
                </c:pt>
                <c:pt idx="24">
                  <c:v>0.59091154627634535</c:v>
                </c:pt>
                <c:pt idx="25">
                  <c:v>3.3895785062173531</c:v>
                </c:pt>
                <c:pt idx="26">
                  <c:v>6.0294977033059238</c:v>
                </c:pt>
                <c:pt idx="27">
                  <c:v>8.4942813036422198</c:v>
                </c:pt>
                <c:pt idx="28">
                  <c:v>10.766722206566721</c:v>
                </c:pt>
                <c:pt idx="29">
                  <c:v>12.829061721271572</c:v>
                </c:pt>
                <c:pt idx="30">
                  <c:v>14.663371341143828</c:v>
                </c:pt>
                <c:pt idx="31">
                  <c:v>16.25205350299402</c:v>
                </c:pt>
                <c:pt idx="32">
                  <c:v>17.578451803439915</c:v>
                </c:pt>
                <c:pt idx="33">
                  <c:v>18.627541870174394</c:v>
                </c:pt>
                <c:pt idx="34">
                  <c:v>19.386652681812492</c:v>
                </c:pt>
                <c:pt idx="35">
                  <c:v>19.846149510709498</c:v>
                </c:pt>
                <c:pt idx="36">
                  <c:v>20.000000000000004</c:v>
                </c:pt>
                <c:pt idx="37">
                  <c:v>19.846149510709498</c:v>
                </c:pt>
                <c:pt idx="38">
                  <c:v>19.386652681812492</c:v>
                </c:pt>
                <c:pt idx="39">
                  <c:v>18.627541870174394</c:v>
                </c:pt>
                <c:pt idx="40">
                  <c:v>17.578451803439915</c:v>
                </c:pt>
                <c:pt idx="41">
                  <c:v>16.25205350299402</c:v>
                </c:pt>
                <c:pt idx="42">
                  <c:v>14.663371341143828</c:v>
                </c:pt>
                <c:pt idx="43">
                  <c:v>12.829061721271572</c:v>
                </c:pt>
                <c:pt idx="44">
                  <c:v>10.766722206566721</c:v>
                </c:pt>
                <c:pt idx="45">
                  <c:v>8.4942813036422198</c:v>
                </c:pt>
                <c:pt idx="46">
                  <c:v>6.0294977033059238</c:v>
                </c:pt>
                <c:pt idx="47">
                  <c:v>3.3895785062173531</c:v>
                </c:pt>
                <c:pt idx="48">
                  <c:v>0.59091154627634535</c:v>
                </c:pt>
                <c:pt idx="49">
                  <c:v>-2.3511019520828889</c:v>
                </c:pt>
                <c:pt idx="50">
                  <c:v>-5.4221321701251952</c:v>
                </c:pt>
                <c:pt idx="51">
                  <c:v>-8.6089411926898549</c:v>
                </c:pt>
                <c:pt idx="52">
                  <c:v>-11.89935568874974</c:v>
                </c:pt>
                <c:pt idx="53">
                  <c:v>-15.282205340569252</c:v>
                </c:pt>
                <c:pt idx="54">
                  <c:v>-18.7472372510375</c:v>
                </c:pt>
                <c:pt idx="55">
                  <c:v>-22.285013192510576</c:v>
                </c:pt>
                <c:pt idx="56">
                  <c:v>-25.886793277212384</c:v>
                </c:pt>
                <c:pt idx="57">
                  <c:v>-29.544406310055589</c:v>
                </c:pt>
                <c:pt idx="58">
                  <c:v>-33.250103382209176</c:v>
                </c:pt>
                <c:pt idx="59">
                  <c:v>-36.996386528754634</c:v>
                </c:pt>
                <c:pt idx="60">
                  <c:v>-40.775797349647618</c:v>
                </c:pt>
                <c:pt idx="61">
                  <c:v>-44.580639252974407</c:v>
                </c:pt>
                <c:pt idx="62">
                  <c:v>-48.402587319964539</c:v>
                </c:pt>
                <c:pt idx="63">
                  <c:v>-52.232103403067164</c:v>
                </c:pt>
                <c:pt idx="64">
                  <c:v>-56.057503314233777</c:v>
                </c:pt>
                <c:pt idx="65">
                  <c:v>-59.863378649840783</c:v>
                </c:pt>
                <c:pt idx="66">
                  <c:v>-63.62776707186589</c:v>
                </c:pt>
                <c:pt idx="67">
                  <c:v>-67.316774554931342</c:v>
                </c:pt>
                <c:pt idx="68">
                  <c:v>-70.873767137767061</c:v>
                </c:pt>
                <c:pt idx="69">
                  <c:v>-74.196733910815666</c:v>
                </c:pt>
                <c:pt idx="70">
                  <c:v>-77.091741299868573</c:v>
                </c:pt>
                <c:pt idx="71">
                  <c:v>-79.198780628828516</c:v>
                </c:pt>
                <c:pt idx="72">
                  <c:v>-80.000000000000028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AF4-453F-9B40-918576F1F361}"/>
            </c:ext>
          </c:extLst>
        </c:ser>
        <c:ser>
          <c:idx val="24"/>
          <c:order val="9"/>
          <c:tx>
            <c:strRef>
              <c:f>Challenge11d!$AZ$1</c:f>
              <c:strCache>
                <c:ptCount val="1"/>
                <c:pt idx="0">
                  <c:v>Sec Orange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val>
            <c:numRef>
              <c:f>Challenge11d!$AZ$2:$AZ$74</c:f>
              <c:numCache>
                <c:formatCode>General</c:formatCode>
                <c:ptCount val="73"/>
                <c:pt idx="0">
                  <c:v>-80.500000000000014</c:v>
                </c:pt>
                <c:pt idx="1">
                  <c:v>-79.6544953580661</c:v>
                </c:pt>
                <c:pt idx="2">
                  <c:v>-77.457036858395</c:v>
                </c:pt>
                <c:pt idx="3">
                  <c:v>-74.475406245932362</c:v>
                </c:pt>
                <c:pt idx="4">
                  <c:v>-71.082328084631826</c:v>
                </c:pt>
                <c:pt idx="5">
                  <c:v>-67.469562720269806</c:v>
                </c:pt>
                <c:pt idx="6">
                  <c:v>-63.735081283215422</c:v>
                </c:pt>
                <c:pt idx="7">
                  <c:v>-59.932366812038957</c:v>
                </c:pt>
                <c:pt idx="8">
                  <c:v>-56.093152423030453</c:v>
                </c:pt>
                <c:pt idx="9">
                  <c:v>-52.237944030770031</c:v>
                </c:pt>
                <c:pt idx="10">
                  <c:v>-48.38115458148215</c:v>
                </c:pt>
                <c:pt idx="11">
                  <c:v>-44.533771654325172</c:v>
                </c:pt>
                <c:pt idx="12">
                  <c:v>-40.704833329529116</c:v>
                </c:pt>
                <c:pt idx="13">
                  <c:v>-36.902296740366971</c:v>
                </c:pt>
                <c:pt idx="14">
                  <c:v>-33.133582204090189</c:v>
                </c:pt>
                <c:pt idx="15">
                  <c:v>-29.405937171582018</c:v>
                </c:pt>
                <c:pt idx="16">
                  <c:v>-25.726697049097666</c:v>
                </c:pt>
                <c:pt idx="17">
                  <c:v>-22.103485689102747</c:v>
                </c:pt>
                <c:pt idx="18">
                  <c:v>-18.544379950820403</c:v>
                </c:pt>
                <c:pt idx="19">
                  <c:v>-15.058052244520791</c:v>
                </c:pt>
                <c:pt idx="20">
                  <c:v>-11.653898502291717</c:v>
                </c:pt>
                <c:pt idx="21">
                  <c:v>-8.342154552079041</c:v>
                </c:pt>
                <c:pt idx="22">
                  <c:v>-5.1340003179555547</c:v>
                </c:pt>
                <c:pt idx="23">
                  <c:v>-2.0416480108384381</c:v>
                </c:pt>
                <c:pt idx="24">
                  <c:v>0.92159282355500927</c:v>
                </c:pt>
                <c:pt idx="25">
                  <c:v>3.7412839838257086</c:v>
                </c:pt>
                <c:pt idx="26">
                  <c:v>6.4018750935596174</c:v>
                </c:pt>
                <c:pt idx="27">
                  <c:v>8.8867850874145073</c:v>
                </c:pt>
                <c:pt idx="28">
                  <c:v>11.178567921802973</c:v>
                </c:pt>
                <c:pt idx="29">
                  <c:v>13.259181494090354</c:v>
                </c:pt>
                <c:pt idx="30">
                  <c:v>15.110374837685445</c:v>
                </c:pt>
                <c:pt idx="31">
                  <c:v>16.714199643186564</c:v>
                </c:pt>
                <c:pt idx="32">
                  <c:v>18.053637220973616</c:v>
                </c:pt>
                <c:pt idx="33">
                  <c:v>19.113311777260979</c:v>
                </c:pt>
                <c:pt idx="34">
                  <c:v>19.880238132068648</c:v>
                </c:pt>
                <c:pt idx="35">
                  <c:v>20.34453196715581</c:v>
                </c:pt>
                <c:pt idx="36">
                  <c:v>20.500000000000007</c:v>
                </c:pt>
                <c:pt idx="37">
                  <c:v>20.34453196715581</c:v>
                </c:pt>
                <c:pt idx="38">
                  <c:v>19.880238132068648</c:v>
                </c:pt>
                <c:pt idx="39">
                  <c:v>19.113311777260979</c:v>
                </c:pt>
                <c:pt idx="40">
                  <c:v>18.053637220973616</c:v>
                </c:pt>
                <c:pt idx="41">
                  <c:v>16.714199643186564</c:v>
                </c:pt>
                <c:pt idx="42">
                  <c:v>15.110374837685445</c:v>
                </c:pt>
                <c:pt idx="43">
                  <c:v>13.259181494090354</c:v>
                </c:pt>
                <c:pt idx="44">
                  <c:v>11.178567921802973</c:v>
                </c:pt>
                <c:pt idx="45">
                  <c:v>8.8867850874145073</c:v>
                </c:pt>
                <c:pt idx="46">
                  <c:v>6.4018750935596174</c:v>
                </c:pt>
                <c:pt idx="47">
                  <c:v>3.7412839838257086</c:v>
                </c:pt>
                <c:pt idx="48">
                  <c:v>0.92159282355500927</c:v>
                </c:pt>
                <c:pt idx="49">
                  <c:v>-2.0416480108384381</c:v>
                </c:pt>
                <c:pt idx="50">
                  <c:v>-5.1340003179555547</c:v>
                </c:pt>
                <c:pt idx="51">
                  <c:v>-8.342154552079041</c:v>
                </c:pt>
                <c:pt idx="52">
                  <c:v>-11.653898502291717</c:v>
                </c:pt>
                <c:pt idx="53">
                  <c:v>-15.058052244520791</c:v>
                </c:pt>
                <c:pt idx="54">
                  <c:v>-18.544379950820403</c:v>
                </c:pt>
                <c:pt idx="55">
                  <c:v>-22.103485689102747</c:v>
                </c:pt>
                <c:pt idx="56">
                  <c:v>-25.726697049097666</c:v>
                </c:pt>
                <c:pt idx="57">
                  <c:v>-29.405937171582018</c:v>
                </c:pt>
                <c:pt idx="58">
                  <c:v>-33.133582204090189</c:v>
                </c:pt>
                <c:pt idx="59">
                  <c:v>-36.902296740366971</c:v>
                </c:pt>
                <c:pt idx="60">
                  <c:v>-40.704833329529116</c:v>
                </c:pt>
                <c:pt idx="61">
                  <c:v>-44.533771654325172</c:v>
                </c:pt>
                <c:pt idx="62">
                  <c:v>-48.38115458148215</c:v>
                </c:pt>
                <c:pt idx="63">
                  <c:v>-52.237944030770031</c:v>
                </c:pt>
                <c:pt idx="64">
                  <c:v>-56.093152423030453</c:v>
                </c:pt>
                <c:pt idx="65">
                  <c:v>-59.932366812038957</c:v>
                </c:pt>
                <c:pt idx="66">
                  <c:v>-63.735081283215422</c:v>
                </c:pt>
                <c:pt idx="67">
                  <c:v>-67.469562720269806</c:v>
                </c:pt>
                <c:pt idx="68">
                  <c:v>-71.082328084631826</c:v>
                </c:pt>
                <c:pt idx="69">
                  <c:v>-74.475406245932362</c:v>
                </c:pt>
                <c:pt idx="70">
                  <c:v>-77.457036858395</c:v>
                </c:pt>
                <c:pt idx="71">
                  <c:v>-79.6544953580661</c:v>
                </c:pt>
                <c:pt idx="72">
                  <c:v>-80.500000000000014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AF4-453F-9B40-918576F1F361}"/>
            </c:ext>
          </c:extLst>
        </c:ser>
        <c:ser>
          <c:idx val="25"/>
          <c:order val="10"/>
          <c:tx>
            <c:strRef>
              <c:f>Challenge11d!$BA$1</c:f>
              <c:strCache>
                <c:ptCount val="1"/>
                <c:pt idx="0">
                  <c:v>Sec Yellow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val>
            <c:numRef>
              <c:f>Challenge11d!$BA$2:$BA$74</c:f>
              <c:numCache>
                <c:formatCode>General</c:formatCode>
                <c:ptCount val="73"/>
                <c:pt idx="0">
                  <c:v>-81.000000000000028</c:v>
                </c:pt>
                <c:pt idx="1">
                  <c:v>-80.105980054174793</c:v>
                </c:pt>
                <c:pt idx="2">
                  <c:v>-77.812922263470512</c:v>
                </c:pt>
                <c:pt idx="3">
                  <c:v>-74.743061261899868</c:v>
                </c:pt>
                <c:pt idx="4">
                  <c:v>-71.280262793516485</c:v>
                </c:pt>
                <c:pt idx="5">
                  <c:v>-67.612755142536471</c:v>
                </c:pt>
                <c:pt idx="6">
                  <c:v>-63.833929849547722</c:v>
                </c:pt>
                <c:pt idx="7">
                  <c:v>-59.993946984105413</c:v>
                </c:pt>
                <c:pt idx="8">
                  <c:v>-56.122337496825082</c:v>
                </c:pt>
                <c:pt idx="9">
                  <c:v>-52.238152217975347</c:v>
                </c:pt>
                <c:pt idx="10">
                  <c:v>-48.354821922391395</c:v>
                </c:pt>
                <c:pt idx="11">
                  <c:v>-44.48265249256351</c:v>
                </c:pt>
                <c:pt idx="12">
                  <c:v>-40.630195268619893</c:v>
                </c:pt>
                <c:pt idx="13">
                  <c:v>-36.805050597099175</c:v>
                </c:pt>
                <c:pt idx="14">
                  <c:v>-33.014371264357301</c:v>
                </c:pt>
                <c:pt idx="15">
                  <c:v>-29.265200561752042</c:v>
                </c:pt>
                <c:pt idx="16">
                  <c:v>-25.56471649637308</c:v>
                </c:pt>
                <c:pt idx="17">
                  <c:v>-21.920421678163635</c:v>
                </c:pt>
                <c:pt idx="18">
                  <c:v>-18.340301332732938</c:v>
                </c:pt>
                <c:pt idx="19">
                  <c:v>-14.83296217441808</c:v>
                </c:pt>
                <c:pt idx="20">
                  <c:v>-11.407758861551653</c:v>
                </c:pt>
                <c:pt idx="21">
                  <c:v>-8.0749105605737963</c:v>
                </c:pt>
                <c:pt idx="22">
                  <c:v>-4.845606740764298</c:v>
                </c:pt>
                <c:pt idx="23">
                  <c:v>-1.7320981227957146</c:v>
                </c:pt>
                <c:pt idx="24">
                  <c:v>1.2522346083659177</c:v>
                </c:pt>
                <c:pt idx="25">
                  <c:v>4.0928452544791778</c:v>
                </c:pt>
                <c:pt idx="26">
                  <c:v>6.7740342971753069</c:v>
                </c:pt>
                <c:pt idx="27">
                  <c:v>9.2790267657755479</c:v>
                </c:pt>
                <c:pt idx="28">
                  <c:v>11.59013599233805</c:v>
                </c:pt>
                <c:pt idx="29">
                  <c:v>13.689033478489964</c:v>
                </c:pt>
                <c:pt idx="30">
                  <c:v>15.557141312650652</c:v>
                </c:pt>
                <c:pt idx="31">
                  <c:v>17.176154435551499</c:v>
                </c:pt>
                <c:pt idx="32">
                  <c:v>18.528684595522325</c:v>
                </c:pt>
                <c:pt idx="33">
                  <c:v>19.598996589424996</c:v>
                </c:pt>
                <c:pt idx="34">
                  <c:v>20.373783231845319</c:v>
                </c:pt>
                <c:pt idx="35">
                  <c:v>20.842903938366277</c:v>
                </c:pt>
                <c:pt idx="36">
                  <c:v>21</c:v>
                </c:pt>
                <c:pt idx="37">
                  <c:v>20.842903938366277</c:v>
                </c:pt>
                <c:pt idx="38">
                  <c:v>20.373783231845319</c:v>
                </c:pt>
                <c:pt idx="39">
                  <c:v>19.598996589424996</c:v>
                </c:pt>
                <c:pt idx="40">
                  <c:v>18.528684595522325</c:v>
                </c:pt>
                <c:pt idx="41">
                  <c:v>17.176154435551499</c:v>
                </c:pt>
                <c:pt idx="42">
                  <c:v>15.557141312650652</c:v>
                </c:pt>
                <c:pt idx="43">
                  <c:v>13.689033478489964</c:v>
                </c:pt>
                <c:pt idx="44">
                  <c:v>11.59013599233805</c:v>
                </c:pt>
                <c:pt idx="45">
                  <c:v>9.2790267657755479</c:v>
                </c:pt>
                <c:pt idx="46">
                  <c:v>6.7740342971753069</c:v>
                </c:pt>
                <c:pt idx="47">
                  <c:v>4.0928452544791778</c:v>
                </c:pt>
                <c:pt idx="48">
                  <c:v>1.2522346083659177</c:v>
                </c:pt>
                <c:pt idx="49">
                  <c:v>-1.7320981227957146</c:v>
                </c:pt>
                <c:pt idx="50">
                  <c:v>-4.845606740764298</c:v>
                </c:pt>
                <c:pt idx="51">
                  <c:v>-8.0749105605737963</c:v>
                </c:pt>
                <c:pt idx="52">
                  <c:v>-11.407758861551653</c:v>
                </c:pt>
                <c:pt idx="53">
                  <c:v>-14.83296217441808</c:v>
                </c:pt>
                <c:pt idx="54">
                  <c:v>-18.340301332732938</c:v>
                </c:pt>
                <c:pt idx="55">
                  <c:v>-21.920421678163635</c:v>
                </c:pt>
                <c:pt idx="56">
                  <c:v>-25.56471649637308</c:v>
                </c:pt>
                <c:pt idx="57">
                  <c:v>-29.265200561752042</c:v>
                </c:pt>
                <c:pt idx="58">
                  <c:v>-33.014371264357301</c:v>
                </c:pt>
                <c:pt idx="59">
                  <c:v>-36.805050597099175</c:v>
                </c:pt>
                <c:pt idx="60">
                  <c:v>-40.630195268619893</c:v>
                </c:pt>
                <c:pt idx="61">
                  <c:v>-44.48265249256351</c:v>
                </c:pt>
                <c:pt idx="62">
                  <c:v>-48.354821922391395</c:v>
                </c:pt>
                <c:pt idx="63">
                  <c:v>-52.238152217975347</c:v>
                </c:pt>
                <c:pt idx="64">
                  <c:v>-56.122337496825082</c:v>
                </c:pt>
                <c:pt idx="65">
                  <c:v>-59.993946984105413</c:v>
                </c:pt>
                <c:pt idx="66">
                  <c:v>-63.833929849547722</c:v>
                </c:pt>
                <c:pt idx="67">
                  <c:v>-67.612755142536471</c:v>
                </c:pt>
                <c:pt idx="68">
                  <c:v>-71.280262793516485</c:v>
                </c:pt>
                <c:pt idx="69">
                  <c:v>-74.743061261899868</c:v>
                </c:pt>
                <c:pt idx="70">
                  <c:v>-77.812922263470512</c:v>
                </c:pt>
                <c:pt idx="71">
                  <c:v>-80.105980054174793</c:v>
                </c:pt>
                <c:pt idx="72">
                  <c:v>-81.000000000000028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AF4-453F-9B40-918576F1F361}"/>
            </c:ext>
          </c:extLst>
        </c:ser>
        <c:ser>
          <c:idx val="26"/>
          <c:order val="11"/>
          <c:tx>
            <c:strRef>
              <c:f>Challenge11d!$BB$1</c:f>
              <c:strCache>
                <c:ptCount val="1"/>
                <c:pt idx="0">
                  <c:v>Sec Green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Challenge11d!$BB$2:$BB$74</c:f>
              <c:numCache>
                <c:formatCode>General</c:formatCode>
                <c:ptCount val="73"/>
                <c:pt idx="0">
                  <c:v>-81.5</c:v>
                </c:pt>
                <c:pt idx="1">
                  <c:v>-80.552628188031377</c:v>
                </c:pt>
                <c:pt idx="2">
                  <c:v>-78.158548866117357</c:v>
                </c:pt>
                <c:pt idx="3">
                  <c:v>-74.999108923991031</c:v>
                </c:pt>
                <c:pt idx="4">
                  <c:v>-71.467230411418271</c:v>
                </c:pt>
                <c:pt idx="5">
                  <c:v>-67.746166166195195</c:v>
                </c:pt>
                <c:pt idx="6">
                  <c:v>-63.924216077060208</c:v>
                </c:pt>
                <c:pt idx="7">
                  <c:v>-60.048073121000556</c:v>
                </c:pt>
                <c:pt idx="8">
                  <c:v>-56.145041600667128</c:v>
                </c:pt>
                <c:pt idx="9">
                  <c:v>-52.232727869581716</c:v>
                </c:pt>
                <c:pt idx="10">
                  <c:v>-48.323598934597079</c:v>
                </c:pt>
                <c:pt idx="11">
                  <c:v>-44.427296784671391</c:v>
                </c:pt>
                <c:pt idx="12">
                  <c:v>-40.551901028765265</c:v>
                </c:pt>
                <c:pt idx="13">
                  <c:v>-36.704667233317693</c:v>
                </c:pt>
                <c:pt idx="14">
                  <c:v>-32.892490018711655</c:v>
                </c:pt>
                <c:pt idx="15">
                  <c:v>-29.122215698863528</c:v>
                </c:pt>
                <c:pt idx="16">
                  <c:v>-25.400870294156729</c:v>
                </c:pt>
                <c:pt idx="17">
                  <c:v>-21.735839150826568</c:v>
                </c:pt>
                <c:pt idx="18">
                  <c:v>-18.135018670262564</c:v>
                </c:pt>
                <c:pt idx="19">
                  <c:v>-14.606951719479925</c:v>
                </c:pt>
                <c:pt idx="20">
                  <c:v>-11.16095274205869</c:v>
                </c:pt>
                <c:pt idx="21">
                  <c:v>-7.8072246637045595</c:v>
                </c:pt>
                <c:pt idx="22">
                  <c:v>-4.5569664298875221</c:v>
                </c:pt>
                <c:pt idx="23">
                  <c:v>-1.4224668738098503</c:v>
                </c:pt>
                <c:pt idx="24">
                  <c:v>1.5828227162442898</c:v>
                </c:pt>
                <c:pt idx="25">
                  <c:v>4.4442485904524878</c:v>
                </c:pt>
                <c:pt idx="26">
                  <c:v>7.1459621678326686</c:v>
                </c:pt>
                <c:pt idx="27">
                  <c:v>9.6709939694367204</c:v>
                </c:pt>
                <c:pt idx="28">
                  <c:v>12.001415082029132</c:v>
                </c:pt>
                <c:pt idx="29">
                  <c:v>14.118607662024107</c:v>
                </c:pt>
                <c:pt idx="30">
                  <c:v>16.003662359282181</c:v>
                </c:pt>
                <c:pt idx="31">
                  <c:v>17.637911295275895</c:v>
                </c:pt>
                <c:pt idx="32">
                  <c:v>19.003589251890713</c:v>
                </c:pt>
                <c:pt idx="33">
                  <c:v>20.084593445923854</c:v>
                </c:pt>
                <c:pt idx="34">
                  <c:v>20.867286628324372</c:v>
                </c:pt>
                <c:pt idx="35">
                  <c:v>21.341265073033796</c:v>
                </c:pt>
                <c:pt idx="36">
                  <c:v>21.500000000000004</c:v>
                </c:pt>
                <c:pt idx="37">
                  <c:v>21.341265073033796</c:v>
                </c:pt>
                <c:pt idx="38">
                  <c:v>20.867286628324372</c:v>
                </c:pt>
                <c:pt idx="39">
                  <c:v>20.084593445923854</c:v>
                </c:pt>
                <c:pt idx="40">
                  <c:v>19.003589251890713</c:v>
                </c:pt>
                <c:pt idx="41">
                  <c:v>17.637911295275895</c:v>
                </c:pt>
                <c:pt idx="42">
                  <c:v>16.003662359282181</c:v>
                </c:pt>
                <c:pt idx="43">
                  <c:v>14.118607662024107</c:v>
                </c:pt>
                <c:pt idx="44">
                  <c:v>12.001415082029132</c:v>
                </c:pt>
                <c:pt idx="45">
                  <c:v>9.6709939694367204</c:v>
                </c:pt>
                <c:pt idx="46">
                  <c:v>7.1459621678326686</c:v>
                </c:pt>
                <c:pt idx="47">
                  <c:v>4.4442485904524878</c:v>
                </c:pt>
                <c:pt idx="48">
                  <c:v>1.5828227162442898</c:v>
                </c:pt>
                <c:pt idx="49">
                  <c:v>-1.4224668738098503</c:v>
                </c:pt>
                <c:pt idx="50">
                  <c:v>-4.5569664298875221</c:v>
                </c:pt>
                <c:pt idx="51">
                  <c:v>-7.8072246637045595</c:v>
                </c:pt>
                <c:pt idx="52">
                  <c:v>-11.16095274205869</c:v>
                </c:pt>
                <c:pt idx="53">
                  <c:v>-14.606951719479925</c:v>
                </c:pt>
                <c:pt idx="54">
                  <c:v>-18.135018670262564</c:v>
                </c:pt>
                <c:pt idx="55">
                  <c:v>-21.735839150826568</c:v>
                </c:pt>
                <c:pt idx="56">
                  <c:v>-25.400870294156729</c:v>
                </c:pt>
                <c:pt idx="57">
                  <c:v>-29.122215698863528</c:v>
                </c:pt>
                <c:pt idx="58">
                  <c:v>-32.892490018711655</c:v>
                </c:pt>
                <c:pt idx="59">
                  <c:v>-36.704667233317693</c:v>
                </c:pt>
                <c:pt idx="60">
                  <c:v>-40.551901028765265</c:v>
                </c:pt>
                <c:pt idx="61">
                  <c:v>-44.427296784671391</c:v>
                </c:pt>
                <c:pt idx="62">
                  <c:v>-48.323598934597079</c:v>
                </c:pt>
                <c:pt idx="63">
                  <c:v>-52.232727869581716</c:v>
                </c:pt>
                <c:pt idx="64">
                  <c:v>-56.145041600667128</c:v>
                </c:pt>
                <c:pt idx="65">
                  <c:v>-60.048073121000556</c:v>
                </c:pt>
                <c:pt idx="66">
                  <c:v>-63.924216077060208</c:v>
                </c:pt>
                <c:pt idx="67">
                  <c:v>-67.746166166195195</c:v>
                </c:pt>
                <c:pt idx="68">
                  <c:v>-71.467230411418271</c:v>
                </c:pt>
                <c:pt idx="69">
                  <c:v>-74.999108923991031</c:v>
                </c:pt>
                <c:pt idx="70">
                  <c:v>-78.158548866117357</c:v>
                </c:pt>
                <c:pt idx="71">
                  <c:v>-80.552628188031377</c:v>
                </c:pt>
                <c:pt idx="72">
                  <c:v>-81.5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AF4-453F-9B40-918576F1F361}"/>
            </c:ext>
          </c:extLst>
        </c:ser>
        <c:ser>
          <c:idx val="27"/>
          <c:order val="12"/>
          <c:tx>
            <c:strRef>
              <c:f>Challenge11d!$BC$1</c:f>
              <c:strCache>
                <c:ptCount val="1"/>
                <c:pt idx="0">
                  <c:v>Sec Cyan</c:v>
                </c:pt>
              </c:strCache>
            </c:strRef>
          </c:tx>
          <c:spPr>
            <a:ln>
              <a:solidFill>
                <a:srgbClr val="08E8D8"/>
              </a:solidFill>
            </a:ln>
          </c:spPr>
          <c:marker>
            <c:symbol val="none"/>
          </c:marker>
          <c:val>
            <c:numRef>
              <c:f>Challenge11d!$BC$2:$BC$74</c:f>
              <c:numCache>
                <c:formatCode>General</c:formatCode>
                <c:ptCount val="73"/>
                <c:pt idx="0">
                  <c:v>-82.000000000000028</c:v>
                </c:pt>
                <c:pt idx="1">
                  <c:v>-80.993720096231911</c:v>
                </c:pt>
                <c:pt idx="2">
                  <c:v>-78.492992054121117</c:v>
                </c:pt>
                <c:pt idx="3">
                  <c:v>-75.242944750066144</c:v>
                </c:pt>
                <c:pt idx="4">
                  <c:v>-71.642895479364924</c:v>
                </c:pt>
                <c:pt idx="5">
                  <c:v>-67.86961849801601</c:v>
                </c:pt>
                <c:pt idx="6">
                  <c:v>-64.005850364403827</c:v>
                </c:pt>
                <c:pt idx="7">
                  <c:v>-60.094704438895825</c:v>
                </c:pt>
                <c:pt idx="8">
                  <c:v>-56.161251520034575</c:v>
                </c:pt>
                <c:pt idx="9">
                  <c:v>-52.221673462790797</c:v>
                </c:pt>
                <c:pt idx="10">
                  <c:v>-48.287496960346694</c:v>
                </c:pt>
                <c:pt idx="11">
                  <c:v>-44.367720717765081</c:v>
                </c:pt>
                <c:pt idx="12">
                  <c:v>-40.469969234572751</c:v>
                </c:pt>
                <c:pt idx="13">
                  <c:v>-36.601166261193235</c:v>
                </c:pt>
                <c:pt idx="14">
                  <c:v>-32.767958202536818</c:v>
                </c:pt>
                <c:pt idx="15">
                  <c:v>-28.977001944772663</c:v>
                </c:pt>
                <c:pt idx="16">
                  <c:v>-25.235177169669608</c:v>
                </c:pt>
                <c:pt idx="17">
                  <c:v>-21.549756091416487</c:v>
                </c:pt>
                <c:pt idx="18">
                  <c:v>-17.928549195210064</c:v>
                </c:pt>
                <c:pt idx="19">
                  <c:v>-14.380037410399158</c:v>
                </c:pt>
                <c:pt idx="20">
                  <c:v>-10.913496057769111</c:v>
                </c:pt>
                <c:pt idx="21">
                  <c:v>-7.5391122531131884</c:v>
                </c:pt>
                <c:pt idx="22">
                  <c:v>-4.2680943388746346</c:v>
                </c:pt>
                <c:pt idx="23">
                  <c:v>-1.1127688345372631</c:v>
                </c:pt>
                <c:pt idx="24">
                  <c:v>1.9133429507205408</c:v>
                </c:pt>
                <c:pt idx="25">
                  <c:v>4.7954802222834072</c:v>
                </c:pt>
                <c:pt idx="26">
                  <c:v>7.5176454877205572</c:v>
                </c:pt>
                <c:pt idx="27">
                  <c:v>10.062674230839873</c:v>
                </c:pt>
                <c:pt idx="28">
                  <c:v>12.412393736000801</c:v>
                </c:pt>
                <c:pt idx="29">
                  <c:v>14.547893902614584</c:v>
                </c:pt>
                <c:pt idx="30">
                  <c:v>16.449929442274698</c:v>
                </c:pt>
                <c:pt idx="31">
                  <c:v>18.099463522739889</c:v>
                </c:pt>
                <c:pt idx="32">
                  <c:v>19.47834642460225</c:v>
                </c:pt>
                <c:pt idx="33">
                  <c:v>20.570099426361345</c:v>
                </c:pt>
                <c:pt idx="34">
                  <c:v>21.360746938922926</c:v>
                </c:pt>
                <c:pt idx="35">
                  <c:v>21.839615011872251</c:v>
                </c:pt>
                <c:pt idx="36">
                  <c:v>22.000000000000011</c:v>
                </c:pt>
                <c:pt idx="37">
                  <c:v>21.839615011872251</c:v>
                </c:pt>
                <c:pt idx="38">
                  <c:v>21.360746938922926</c:v>
                </c:pt>
                <c:pt idx="39">
                  <c:v>20.570099426361345</c:v>
                </c:pt>
                <c:pt idx="40">
                  <c:v>19.47834642460225</c:v>
                </c:pt>
                <c:pt idx="41">
                  <c:v>18.099463522739889</c:v>
                </c:pt>
                <c:pt idx="42">
                  <c:v>16.449929442274698</c:v>
                </c:pt>
                <c:pt idx="43">
                  <c:v>14.547893902614584</c:v>
                </c:pt>
                <c:pt idx="44">
                  <c:v>12.412393736000801</c:v>
                </c:pt>
                <c:pt idx="45">
                  <c:v>10.062674230839873</c:v>
                </c:pt>
                <c:pt idx="46">
                  <c:v>7.5176454877205572</c:v>
                </c:pt>
                <c:pt idx="47">
                  <c:v>4.7954802222834072</c:v>
                </c:pt>
                <c:pt idx="48">
                  <c:v>1.9133429507205408</c:v>
                </c:pt>
                <c:pt idx="49">
                  <c:v>-1.1127688345372631</c:v>
                </c:pt>
                <c:pt idx="50">
                  <c:v>-4.2680943388746346</c:v>
                </c:pt>
                <c:pt idx="51">
                  <c:v>-7.5391122531131884</c:v>
                </c:pt>
                <c:pt idx="52">
                  <c:v>-10.913496057769111</c:v>
                </c:pt>
                <c:pt idx="53">
                  <c:v>-14.380037410399158</c:v>
                </c:pt>
                <c:pt idx="54">
                  <c:v>-17.928549195210064</c:v>
                </c:pt>
                <c:pt idx="55">
                  <c:v>-21.549756091416487</c:v>
                </c:pt>
                <c:pt idx="56">
                  <c:v>-25.235177169669608</c:v>
                </c:pt>
                <c:pt idx="57">
                  <c:v>-28.977001944772663</c:v>
                </c:pt>
                <c:pt idx="58">
                  <c:v>-32.767958202536818</c:v>
                </c:pt>
                <c:pt idx="59">
                  <c:v>-36.601166261193235</c:v>
                </c:pt>
                <c:pt idx="60">
                  <c:v>-40.469969234572751</c:v>
                </c:pt>
                <c:pt idx="61">
                  <c:v>-44.367720717765081</c:v>
                </c:pt>
                <c:pt idx="62">
                  <c:v>-48.287496960346694</c:v>
                </c:pt>
                <c:pt idx="63">
                  <c:v>-52.221673462790797</c:v>
                </c:pt>
                <c:pt idx="64">
                  <c:v>-56.161251520034575</c:v>
                </c:pt>
                <c:pt idx="65">
                  <c:v>-60.094704438895825</c:v>
                </c:pt>
                <c:pt idx="66">
                  <c:v>-64.005850364403827</c:v>
                </c:pt>
                <c:pt idx="67">
                  <c:v>-67.86961849801601</c:v>
                </c:pt>
                <c:pt idx="68">
                  <c:v>-71.642895479364924</c:v>
                </c:pt>
                <c:pt idx="69">
                  <c:v>-75.242944750066144</c:v>
                </c:pt>
                <c:pt idx="70">
                  <c:v>-78.492992054121117</c:v>
                </c:pt>
                <c:pt idx="71">
                  <c:v>-80.993720096231911</c:v>
                </c:pt>
                <c:pt idx="72">
                  <c:v>-82.000000000000028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AF4-453F-9B40-918576F1F361}"/>
            </c:ext>
          </c:extLst>
        </c:ser>
        <c:ser>
          <c:idx val="28"/>
          <c:order val="13"/>
          <c:tx>
            <c:strRef>
              <c:f>Challenge11d!$BD$1</c:f>
              <c:strCache>
                <c:ptCount val="1"/>
                <c:pt idx="0">
                  <c:v>Sec Blue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val>
            <c:numRef>
              <c:f>Challenge11d!$BD$2:$BD$74</c:f>
              <c:numCache>
                <c:formatCode>General</c:formatCode>
                <c:ptCount val="73"/>
                <c:pt idx="0">
                  <c:v>-82.500000000000028</c:v>
                </c:pt>
                <c:pt idx="1">
                  <c:v>-81.42839791543193</c:v>
                </c:pt>
                <c:pt idx="2">
                  <c:v>-78.815248409308055</c:v>
                </c:pt>
                <c:pt idx="3">
                  <c:v>-75.473953496229342</c:v>
                </c:pt>
                <c:pt idx="4">
                  <c:v>-71.806930262140412</c:v>
                </c:pt>
                <c:pt idx="5">
                  <c:v>-67.982944254800174</c:v>
                </c:pt>
                <c:pt idx="6">
                  <c:v>-64.078750623522268</c:v>
                </c:pt>
                <c:pt idx="7">
                  <c:v>-60.133805564817948</c:v>
                </c:pt>
                <c:pt idx="8">
                  <c:v>-56.170957798621181</c:v>
                </c:pt>
                <c:pt idx="9">
                  <c:v>-52.204994041580633</c:v>
                </c:pt>
                <c:pt idx="10">
                  <c:v>-48.246529072482289</c:v>
                </c:pt>
                <c:pt idx="11">
                  <c:v>-44.303941627159212</c:v>
                </c:pt>
                <c:pt idx="12">
                  <c:v>-40.384419253908924</c:v>
                </c:pt>
                <c:pt idx="13">
                  <c:v>-36.494567755043541</c:v>
                </c:pt>
                <c:pt idx="14">
                  <c:v>-32.640795819153496</c:v>
                </c:pt>
                <c:pt idx="15">
                  <c:v>-28.829578796610097</c:v>
                </c:pt>
                <c:pt idx="16">
                  <c:v>-25.067655896813282</c:v>
                </c:pt>
                <c:pt idx="17">
                  <c:v>-21.362190474298131</c:v>
                </c:pt>
                <c:pt idx="18">
                  <c:v>-17.720910096288652</c:v>
                </c:pt>
                <c:pt idx="19">
                  <c:v>-14.152235719264386</c:v>
                </c:pt>
                <c:pt idx="20">
                  <c:v>-10.665404661976202</c:v>
                </c:pt>
                <c:pt idx="21">
                  <c:v>-7.2705886682052849</c:v>
                </c:pt>
                <c:pt idx="22">
                  <c:v>-3.9790053857190837</c:v>
                </c:pt>
                <c:pt idx="23">
                  <c:v>-0.80301856315329478</c:v>
                </c:pt>
                <c:pt idx="24">
                  <c:v>2.2437811001475017</c:v>
                </c:pt>
                <c:pt idx="25">
                  <c:v>5.1465263351358796</c:v>
                </c:pt>
                <c:pt idx="26">
                  <c:v>7.8890709634150822</c:v>
                </c:pt>
                <c:pt idx="27">
                  <c:v>10.454054979555831</c:v>
                </c:pt>
                <c:pt idx="28">
                  <c:v>12.823060375640974</c:v>
                </c:pt>
                <c:pt idx="29">
                  <c:v>14.97688192333268</c:v>
                </c:pt>
                <c:pt idx="30">
                  <c:v>16.895933892655457</c:v>
                </c:pt>
                <c:pt idx="31">
                  <c:v>18.560804298904738</c:v>
                </c:pt>
                <c:pt idx="32">
                  <c:v>19.952951254207594</c:v>
                </c:pt>
                <c:pt idx="33">
                  <c:v>21.055511548199689</c:v>
                </c:pt>
                <c:pt idx="34">
                  <c:v>21.854162750030607</c:v>
                </c:pt>
                <c:pt idx="35">
                  <c:v>22.337953387274162</c:v>
                </c:pt>
                <c:pt idx="36">
                  <c:v>22.500000000000011</c:v>
                </c:pt>
                <c:pt idx="37">
                  <c:v>22.337953387274162</c:v>
                </c:pt>
                <c:pt idx="38">
                  <c:v>21.854162750030607</c:v>
                </c:pt>
                <c:pt idx="39">
                  <c:v>21.055511548199689</c:v>
                </c:pt>
                <c:pt idx="40">
                  <c:v>19.952951254207594</c:v>
                </c:pt>
                <c:pt idx="41">
                  <c:v>18.560804298904738</c:v>
                </c:pt>
                <c:pt idx="42">
                  <c:v>16.895933892655457</c:v>
                </c:pt>
                <c:pt idx="43">
                  <c:v>14.97688192333268</c:v>
                </c:pt>
                <c:pt idx="44">
                  <c:v>12.823060375640974</c:v>
                </c:pt>
                <c:pt idx="45">
                  <c:v>10.454054979555831</c:v>
                </c:pt>
                <c:pt idx="46">
                  <c:v>7.8890709634150822</c:v>
                </c:pt>
                <c:pt idx="47">
                  <c:v>5.1465263351358796</c:v>
                </c:pt>
                <c:pt idx="48">
                  <c:v>2.2437811001475017</c:v>
                </c:pt>
                <c:pt idx="49">
                  <c:v>-0.80301856315329478</c:v>
                </c:pt>
                <c:pt idx="50">
                  <c:v>-3.9790053857190837</c:v>
                </c:pt>
                <c:pt idx="51">
                  <c:v>-7.2705886682052849</c:v>
                </c:pt>
                <c:pt idx="52">
                  <c:v>-10.665404661976202</c:v>
                </c:pt>
                <c:pt idx="53">
                  <c:v>-14.152235719264386</c:v>
                </c:pt>
                <c:pt idx="54">
                  <c:v>-17.720910096288652</c:v>
                </c:pt>
                <c:pt idx="55">
                  <c:v>-21.362190474298131</c:v>
                </c:pt>
                <c:pt idx="56">
                  <c:v>-25.067655896813282</c:v>
                </c:pt>
                <c:pt idx="57">
                  <c:v>-28.829578796610097</c:v>
                </c:pt>
                <c:pt idx="58">
                  <c:v>-32.640795819153496</c:v>
                </c:pt>
                <c:pt idx="59">
                  <c:v>-36.494567755043541</c:v>
                </c:pt>
                <c:pt idx="60">
                  <c:v>-40.384419253908924</c:v>
                </c:pt>
                <c:pt idx="61">
                  <c:v>-44.303941627159212</c:v>
                </c:pt>
                <c:pt idx="62">
                  <c:v>-48.246529072482289</c:v>
                </c:pt>
                <c:pt idx="63">
                  <c:v>-52.204994041580633</c:v>
                </c:pt>
                <c:pt idx="64">
                  <c:v>-56.170957798621181</c:v>
                </c:pt>
                <c:pt idx="65">
                  <c:v>-60.133805564817948</c:v>
                </c:pt>
                <c:pt idx="66">
                  <c:v>-64.078750623522268</c:v>
                </c:pt>
                <c:pt idx="67">
                  <c:v>-67.982944254800174</c:v>
                </c:pt>
                <c:pt idx="68">
                  <c:v>-71.806930262140412</c:v>
                </c:pt>
                <c:pt idx="69">
                  <c:v>-75.473953496229342</c:v>
                </c:pt>
                <c:pt idx="70">
                  <c:v>-78.815248409308055</c:v>
                </c:pt>
                <c:pt idx="71">
                  <c:v>-81.42839791543193</c:v>
                </c:pt>
                <c:pt idx="72">
                  <c:v>-82.500000000000028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AF4-453F-9B40-918576F1F361}"/>
            </c:ext>
          </c:extLst>
        </c:ser>
        <c:ser>
          <c:idx val="29"/>
          <c:order val="14"/>
          <c:tx>
            <c:strRef>
              <c:f>Challenge11d!$BE$1</c:f>
              <c:strCache>
                <c:ptCount val="1"/>
                <c:pt idx="0">
                  <c:v>Sec Violet 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Challenge11d!$BE$2:$BE$74</c:f>
              <c:numCache>
                <c:formatCode>General</c:formatCode>
                <c:ptCount val="73"/>
                <c:pt idx="0">
                  <c:v>-83.000000000000028</c:v>
                </c:pt>
                <c:pt idx="1">
                  <c:v>-81.855634535395865</c:v>
                </c:pt>
                <c:pt idx="2">
                  <c:v>-79.124234407871413</c:v>
                </c:pt>
                <c:pt idx="3">
                  <c:v>-75.691513625293908</c:v>
                </c:pt>
                <c:pt idx="4">
                  <c:v>-71.959017206549774</c:v>
                </c:pt>
                <c:pt idx="5">
                  <c:v>-68.085985997366009</c:v>
                </c:pt>
                <c:pt idx="6">
                  <c:v>-64.14284267403869</c:v>
                </c:pt>
                <c:pt idx="7">
                  <c:v>-60.165346667920531</c:v>
                </c:pt>
                <c:pt idx="8">
                  <c:v>-56.174154765481788</c:v>
                </c:pt>
                <c:pt idx="9">
                  <c:v>-52.182697205469033</c:v>
                </c:pt>
                <c:pt idx="10">
                  <c:v>-48.200710051803789</c:v>
                </c:pt>
                <c:pt idx="11">
                  <c:v>-44.235977973079493</c:v>
                </c:pt>
                <c:pt idx="12">
                  <c:v>-40.295271177851966</c:v>
                </c:pt>
                <c:pt idx="13">
                  <c:v>-36.384892235535396</c:v>
                </c:pt>
                <c:pt idx="14">
                  <c:v>-32.511023128119199</c:v>
                </c:pt>
                <c:pt idx="15">
                  <c:v>-28.679965878612219</c:v>
                </c:pt>
                <c:pt idx="16">
                  <c:v>-24.898325290874812</c:v>
                </c:pt>
                <c:pt idx="17">
                  <c:v>-21.173160260836568</c:v>
                </c:pt>
                <c:pt idx="18">
                  <c:v>-17.51211851781013</c:v>
                </c:pt>
                <c:pt idx="19">
                  <c:v>-13.923563059542207</c:v>
                </c:pt>
                <c:pt idx="20">
                  <c:v>-10.416694348256948</c:v>
                </c:pt>
                <c:pt idx="21">
                  <c:v>-7.0016691978207737</c:v>
                </c:pt>
                <c:pt idx="22">
                  <c:v>-3.6897144550949648</c:v>
                </c:pt>
                <c:pt idx="23">
                  <c:v>-0.49323060807002972</c:v>
                </c:pt>
                <c:pt idx="24">
                  <c:v>2.5741229345258079</c:v>
                </c:pt>
                <c:pt idx="25">
                  <c:v>5.4973730651519155</c:v>
                </c:pt>
                <c:pt idx="26">
                  <c:v>8.2602252217288132</c:v>
                </c:pt>
                <c:pt idx="27">
                  <c:v>10.845123537629213</c:v>
                </c:pt>
                <c:pt idx="28">
                  <c:v>13.233403293513541</c:v>
                </c:pt>
                <c:pt idx="29">
                  <c:v>15.405561307067911</c:v>
                </c:pt>
                <c:pt idx="30">
                  <c:v>17.341666902530672</c:v>
                </c:pt>
                <c:pt idx="31">
                  <c:v>19.02192668056065</c:v>
                </c:pt>
                <c:pt idx="32">
                  <c:v>20.42739878346725</c:v>
                </c:pt>
                <c:pt idx="33">
                  <c:v>21.540826764179545</c:v>
                </c:pt>
                <c:pt idx="34">
                  <c:v>22.347532615697254</c:v>
                </c:pt>
                <c:pt idx="35">
                  <c:v>22.836279822954435</c:v>
                </c:pt>
                <c:pt idx="36">
                  <c:v>23.000000000000007</c:v>
                </c:pt>
                <c:pt idx="37">
                  <c:v>22.836279822954435</c:v>
                </c:pt>
                <c:pt idx="38">
                  <c:v>22.347532615697254</c:v>
                </c:pt>
                <c:pt idx="39">
                  <c:v>21.540826764179545</c:v>
                </c:pt>
                <c:pt idx="40">
                  <c:v>20.42739878346725</c:v>
                </c:pt>
                <c:pt idx="41">
                  <c:v>19.02192668056065</c:v>
                </c:pt>
                <c:pt idx="42">
                  <c:v>17.341666902530672</c:v>
                </c:pt>
                <c:pt idx="43">
                  <c:v>15.405561307067911</c:v>
                </c:pt>
                <c:pt idx="44">
                  <c:v>13.233403293513541</c:v>
                </c:pt>
                <c:pt idx="45">
                  <c:v>10.845123537629213</c:v>
                </c:pt>
                <c:pt idx="46">
                  <c:v>8.2602252217288132</c:v>
                </c:pt>
                <c:pt idx="47">
                  <c:v>5.4973730651519155</c:v>
                </c:pt>
                <c:pt idx="48">
                  <c:v>2.5741229345258079</c:v>
                </c:pt>
                <c:pt idx="49">
                  <c:v>-0.49323060807002972</c:v>
                </c:pt>
                <c:pt idx="50">
                  <c:v>-3.6897144550949648</c:v>
                </c:pt>
                <c:pt idx="51">
                  <c:v>-7.0016691978207737</c:v>
                </c:pt>
                <c:pt idx="52">
                  <c:v>-10.416694348256948</c:v>
                </c:pt>
                <c:pt idx="53">
                  <c:v>-13.923563059542207</c:v>
                </c:pt>
                <c:pt idx="54">
                  <c:v>-17.51211851781013</c:v>
                </c:pt>
                <c:pt idx="55">
                  <c:v>-21.173160260836568</c:v>
                </c:pt>
                <c:pt idx="56">
                  <c:v>-24.898325290874812</c:v>
                </c:pt>
                <c:pt idx="57">
                  <c:v>-28.679965878612219</c:v>
                </c:pt>
                <c:pt idx="58">
                  <c:v>-32.511023128119199</c:v>
                </c:pt>
                <c:pt idx="59">
                  <c:v>-36.384892235535396</c:v>
                </c:pt>
                <c:pt idx="60">
                  <c:v>-40.295271177851966</c:v>
                </c:pt>
                <c:pt idx="61">
                  <c:v>-44.235977973079493</c:v>
                </c:pt>
                <c:pt idx="62">
                  <c:v>-48.200710051803789</c:v>
                </c:pt>
                <c:pt idx="63">
                  <c:v>-52.182697205469033</c:v>
                </c:pt>
                <c:pt idx="64">
                  <c:v>-56.174154765481788</c:v>
                </c:pt>
                <c:pt idx="65">
                  <c:v>-60.165346667920531</c:v>
                </c:pt>
                <c:pt idx="66">
                  <c:v>-64.14284267403869</c:v>
                </c:pt>
                <c:pt idx="67">
                  <c:v>-68.085985997366009</c:v>
                </c:pt>
                <c:pt idx="68">
                  <c:v>-71.959017206549774</c:v>
                </c:pt>
                <c:pt idx="69">
                  <c:v>-75.691513625293908</c:v>
                </c:pt>
                <c:pt idx="70">
                  <c:v>-79.124234407871413</c:v>
                </c:pt>
                <c:pt idx="71">
                  <c:v>-81.855634535395865</c:v>
                </c:pt>
                <c:pt idx="72">
                  <c:v>-83.000000000000028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AF4-453F-9B40-918576F1F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518687"/>
        <c:axId val="1745522527"/>
        <c:extLst>
          <c:ext xmlns:c15="http://schemas.microsoft.com/office/drawing/2012/chart" uri="{02D57815-91ED-43cb-92C2-25804820EDAC}">
            <c15:filteredLineSeries>
              <c15:ser>
                <c:idx val="22"/>
                <c:order val="7"/>
                <c:tx>
                  <c:strRef>
                    <c:extLst>
                      <c:ext uri="{02D57815-91ED-43cb-92C2-25804820EDAC}">
                        <c15:formulaRef>
                          <c15:sqref>Challenge11d!$AX$1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Challenge11d!$AX$2:$AX$74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4-2AF4-453F-9B40-918576F1F361}"/>
                  </c:ext>
                </c:extLst>
              </c15:ser>
            </c15:filteredLineSeries>
          </c:ext>
        </c:extLst>
      </c:lineChart>
      <c:catAx>
        <c:axId val="1745518687"/>
        <c:scaling>
          <c:orientation val="minMax"/>
        </c:scaling>
        <c:delete val="1"/>
        <c:axPos val="b"/>
        <c:majorTickMark val="none"/>
        <c:minorTickMark val="none"/>
        <c:tickLblPos val="nextTo"/>
        <c:crossAx val="1745522527"/>
        <c:crosses val="autoZero"/>
        <c:auto val="1"/>
        <c:lblAlgn val="ctr"/>
        <c:lblOffset val="100"/>
        <c:noMultiLvlLbl val="0"/>
      </c:catAx>
      <c:valAx>
        <c:axId val="1745522527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1868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Solar angle = 40 ˚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Challenge11d!$BJ$1</c:f>
              <c:strCache>
                <c:ptCount val="1"/>
                <c:pt idx="0">
                  <c:v>Prim Red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Challenge11d!$BJ$2:$BJ$74</c:f>
              <c:numCache>
                <c:formatCode>General</c:formatCode>
                <c:ptCount val="73"/>
                <c:pt idx="0">
                  <c:v>-81.999999999999943</c:v>
                </c:pt>
                <c:pt idx="1">
                  <c:v>-81.233451730006635</c:v>
                </c:pt>
                <c:pt idx="2">
                  <c:v>-79.259333438528714</c:v>
                </c:pt>
                <c:pt idx="3">
                  <c:v>-76.606509145195247</c:v>
                </c:pt>
                <c:pt idx="4">
                  <c:v>-73.608425689284971</c:v>
                </c:pt>
                <c:pt idx="5">
                  <c:v>-70.431709603224533</c:v>
                </c:pt>
                <c:pt idx="6">
                  <c:v>-67.160365096273708</c:v>
                </c:pt>
                <c:pt idx="7">
                  <c:v>-63.840254625296758</c:v>
                </c:pt>
                <c:pt idx="8">
                  <c:v>-60.498900288647327</c:v>
                </c:pt>
                <c:pt idx="9">
                  <c:v>-57.154457759599339</c:v>
                </c:pt>
                <c:pt idx="10">
                  <c:v>-53.820035643000125</c:v>
                </c:pt>
                <c:pt idx="11">
                  <c:v>-50.505916788643681</c:v>
                </c:pt>
                <c:pt idx="12">
                  <c:v>-47.22077508699229</c:v>
                </c:pt>
                <c:pt idx="13">
                  <c:v>-43.972382261905892</c:v>
                </c:pt>
                <c:pt idx="14">
                  <c:v>-40.76804149869691</c:v>
                </c:pt>
                <c:pt idx="15">
                  <c:v>-37.614867436063058</c:v>
                </c:pt>
                <c:pt idx="16">
                  <c:v>-34.519975596447175</c:v>
                </c:pt>
                <c:pt idx="17">
                  <c:v>-31.490615695450298</c:v>
                </c:pt>
                <c:pt idx="18">
                  <c:v>-28.534267994093021</c:v>
                </c:pt>
                <c:pt idx="19">
                  <c:v>-25.65871328202627</c:v>
                </c:pt>
                <c:pt idx="20">
                  <c:v>-22.872082001533546</c:v>
                </c:pt>
                <c:pt idx="21">
                  <c:v>-20.182884841567052</c:v>
                </c:pt>
                <c:pt idx="22">
                  <c:v>-17.600025031751382</c:v>
                </c:pt>
                <c:pt idx="23">
                  <c:v>-15.132791136192337</c:v>
                </c:pt>
                <c:pt idx="24">
                  <c:v>-12.790828196530809</c:v>
                </c:pt>
                <c:pt idx="25">
                  <c:v>-10.584084544867764</c:v>
                </c:pt>
                <c:pt idx="26">
                  <c:v>-8.5227315228944391</c:v>
                </c:pt>
                <c:pt idx="27">
                  <c:v>-6.6170537732513219</c:v>
                </c:pt>
                <c:pt idx="28">
                  <c:v>-4.8773087965337885</c:v>
                </c:pt>
                <c:pt idx="29">
                  <c:v>-3.3135561535074038</c:v>
                </c:pt>
                <c:pt idx="30">
                  <c:v>-1.9354590323041574</c:v>
                </c:pt>
                <c:pt idx="31">
                  <c:v>-0.75206377982060724</c:v>
                </c:pt>
                <c:pt idx="32">
                  <c:v>0.22843384402773886</c:v>
                </c:pt>
                <c:pt idx="33">
                  <c:v>0.99892390240601558</c:v>
                </c:pt>
                <c:pt idx="34">
                  <c:v>1.553604851792018</c:v>
                </c:pt>
                <c:pt idx="35">
                  <c:v>1.8881781351432476</c:v>
                </c:pt>
                <c:pt idx="36">
                  <c:v>2.0000000000000036</c:v>
                </c:pt>
                <c:pt idx="37">
                  <c:v>1.8881781351432476</c:v>
                </c:pt>
                <c:pt idx="38">
                  <c:v>1.553604851792018</c:v>
                </c:pt>
                <c:pt idx="39">
                  <c:v>0.99892390240601558</c:v>
                </c:pt>
                <c:pt idx="40">
                  <c:v>0.22843384402773886</c:v>
                </c:pt>
                <c:pt idx="41">
                  <c:v>-0.75206377982060724</c:v>
                </c:pt>
                <c:pt idx="42">
                  <c:v>-1.9354590323041574</c:v>
                </c:pt>
                <c:pt idx="43">
                  <c:v>-3.3135561535074038</c:v>
                </c:pt>
                <c:pt idx="44">
                  <c:v>-4.8773087965337885</c:v>
                </c:pt>
                <c:pt idx="45">
                  <c:v>-6.6170537732513219</c:v>
                </c:pt>
                <c:pt idx="46">
                  <c:v>-8.5227315228944391</c:v>
                </c:pt>
                <c:pt idx="47">
                  <c:v>-10.584084544867764</c:v>
                </c:pt>
                <c:pt idx="48">
                  <c:v>-12.790828196530809</c:v>
                </c:pt>
                <c:pt idx="49">
                  <c:v>-15.132791136192337</c:v>
                </c:pt>
                <c:pt idx="50">
                  <c:v>-17.600025031751382</c:v>
                </c:pt>
                <c:pt idx="51">
                  <c:v>-20.182884841567052</c:v>
                </c:pt>
                <c:pt idx="52">
                  <c:v>-22.872082001533546</c:v>
                </c:pt>
                <c:pt idx="53">
                  <c:v>-25.65871328202627</c:v>
                </c:pt>
                <c:pt idx="54">
                  <c:v>-28.534267994093021</c:v>
                </c:pt>
                <c:pt idx="55">
                  <c:v>-31.490615695450298</c:v>
                </c:pt>
                <c:pt idx="56">
                  <c:v>-34.519975596447175</c:v>
                </c:pt>
                <c:pt idx="57">
                  <c:v>-37.614867436063058</c:v>
                </c:pt>
                <c:pt idx="58">
                  <c:v>-40.76804149869691</c:v>
                </c:pt>
                <c:pt idx="59">
                  <c:v>-43.972382261905892</c:v>
                </c:pt>
                <c:pt idx="60">
                  <c:v>-47.22077508699229</c:v>
                </c:pt>
                <c:pt idx="61">
                  <c:v>-50.505916788643681</c:v>
                </c:pt>
                <c:pt idx="62">
                  <c:v>-53.820035643000125</c:v>
                </c:pt>
                <c:pt idx="63">
                  <c:v>-57.154457759599339</c:v>
                </c:pt>
                <c:pt idx="64">
                  <c:v>-60.498900288647327</c:v>
                </c:pt>
                <c:pt idx="65">
                  <c:v>-63.840254625296758</c:v>
                </c:pt>
                <c:pt idx="66">
                  <c:v>-67.160365096273708</c:v>
                </c:pt>
                <c:pt idx="67">
                  <c:v>-70.431709603224533</c:v>
                </c:pt>
                <c:pt idx="68">
                  <c:v>-73.608425689284971</c:v>
                </c:pt>
                <c:pt idx="69">
                  <c:v>-76.606509145195247</c:v>
                </c:pt>
                <c:pt idx="70">
                  <c:v>-79.259333438528714</c:v>
                </c:pt>
                <c:pt idx="71">
                  <c:v>-81.233451730006635</c:v>
                </c:pt>
                <c:pt idx="72">
                  <c:v>-81.999999999999943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A83D-44F7-B9EE-09E626736407}"/>
            </c:ext>
          </c:extLst>
        </c:ser>
        <c:ser>
          <c:idx val="1"/>
          <c:order val="1"/>
          <c:tx>
            <c:strRef>
              <c:f>Challenge11d!$BK$1</c:f>
              <c:strCache>
                <c:ptCount val="1"/>
                <c:pt idx="0">
                  <c:v>Prim Orange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val>
            <c:numRef>
              <c:f>Challenge11d!$BK$2:$BK$74</c:f>
              <c:numCache>
                <c:formatCode>General</c:formatCode>
                <c:ptCount val="73"/>
                <c:pt idx="0">
                  <c:v>-81.199999999999946</c:v>
                </c:pt>
                <c:pt idx="1">
                  <c:v>-80.507876571160466</c:v>
                </c:pt>
                <c:pt idx="2">
                  <c:v>-78.684786548171999</c:v>
                </c:pt>
                <c:pt idx="3">
                  <c:v>-76.176185311485796</c:v>
                </c:pt>
                <c:pt idx="4">
                  <c:v>-73.295148317048032</c:v>
                </c:pt>
                <c:pt idx="5">
                  <c:v>-70.212163355531288</c:v>
                </c:pt>
                <c:pt idx="6">
                  <c:v>-67.01788206151609</c:v>
                </c:pt>
                <c:pt idx="7">
                  <c:v>-63.763268628854689</c:v>
                </c:pt>
                <c:pt idx="8">
                  <c:v>-60.479310260058611</c:v>
                </c:pt>
                <c:pt idx="9">
                  <c:v>-57.186478442213776</c:v>
                </c:pt>
                <c:pt idx="10">
                  <c:v>-53.899449647587943</c:v>
                </c:pt>
                <c:pt idx="11">
                  <c:v>-50.629590380528654</c:v>
                </c:pt>
                <c:pt idx="12">
                  <c:v>-47.386339174911186</c:v>
                </c:pt>
                <c:pt idx="13">
                  <c:v>-44.178016629563963</c:v>
                </c:pt>
                <c:pt idx="14">
                  <c:v>-41.012324321746306</c:v>
                </c:pt>
                <c:pt idx="15">
                  <c:v>-37.896666691800135</c:v>
                </c:pt>
                <c:pt idx="16">
                  <c:v>-34.838367688459051</c:v>
                </c:pt>
                <c:pt idx="17">
                  <c:v>-31.844821875904316</c:v>
                </c:pt>
                <c:pt idx="18">
                  <c:v>-28.923602402775295</c:v>
                </c:pt>
                <c:pt idx="19">
                  <c:v>-26.082538465597604</c:v>
                </c:pt>
                <c:pt idx="20">
                  <c:v>-23.329769114517664</c:v>
                </c:pt>
                <c:pt idx="21">
                  <c:v>-20.673776650846069</c:v>
                </c:pt>
                <c:pt idx="22">
                  <c:v>-18.123400524185584</c:v>
                </c:pt>
                <c:pt idx="23">
                  <c:v>-15.687831073103569</c:v>
                </c:pt>
                <c:pt idx="24">
                  <c:v>-13.376581436352192</c:v>
                </c:pt>
                <c:pt idx="25">
                  <c:v>-11.199435404759569</c:v>
                </c:pt>
                <c:pt idx="26">
                  <c:v>-9.1663688871390718</c:v>
                </c:pt>
                <c:pt idx="27">
                  <c:v>-7.2874430753390902</c:v>
                </c:pt>
                <c:pt idx="28">
                  <c:v>-5.572668377109653</c:v>
                </c:pt>
                <c:pt idx="29">
                  <c:v>-4.031839782804739</c:v>
                </c:pt>
                <c:pt idx="30">
                  <c:v>-2.6743465240080821</c:v>
                </c:pt>
                <c:pt idx="31">
                  <c:v>-1.508961549462388</c:v>
                </c:pt>
                <c:pt idx="32">
                  <c:v>-0.54361923754636965</c:v>
                </c:pt>
                <c:pt idx="33">
                  <c:v>0.21480749649565395</c:v>
                </c:pt>
                <c:pt idx="34">
                  <c:v>0.760717435347388</c:v>
                </c:pt>
                <c:pt idx="35">
                  <c:v>1.0899643984429486</c:v>
                </c:pt>
                <c:pt idx="36">
                  <c:v>1.1999999999999984</c:v>
                </c:pt>
                <c:pt idx="37">
                  <c:v>1.0899643984429486</c:v>
                </c:pt>
                <c:pt idx="38">
                  <c:v>0.760717435347388</c:v>
                </c:pt>
                <c:pt idx="39">
                  <c:v>0.21480749649565395</c:v>
                </c:pt>
                <c:pt idx="40">
                  <c:v>-0.54361923754636965</c:v>
                </c:pt>
                <c:pt idx="41">
                  <c:v>-1.508961549462388</c:v>
                </c:pt>
                <c:pt idx="42">
                  <c:v>-2.6743465240080821</c:v>
                </c:pt>
                <c:pt idx="43">
                  <c:v>-4.031839782804739</c:v>
                </c:pt>
                <c:pt idx="44">
                  <c:v>-5.572668377109653</c:v>
                </c:pt>
                <c:pt idx="45">
                  <c:v>-7.2874430753390902</c:v>
                </c:pt>
                <c:pt idx="46">
                  <c:v>-9.1663688871390718</c:v>
                </c:pt>
                <c:pt idx="47">
                  <c:v>-11.199435404759569</c:v>
                </c:pt>
                <c:pt idx="48">
                  <c:v>-13.376581436352192</c:v>
                </c:pt>
                <c:pt idx="49">
                  <c:v>-15.687831073103569</c:v>
                </c:pt>
                <c:pt idx="50">
                  <c:v>-18.123400524185584</c:v>
                </c:pt>
                <c:pt idx="51">
                  <c:v>-20.673776650846069</c:v>
                </c:pt>
                <c:pt idx="52">
                  <c:v>-23.329769114517664</c:v>
                </c:pt>
                <c:pt idx="53">
                  <c:v>-26.082538465597604</c:v>
                </c:pt>
                <c:pt idx="54">
                  <c:v>-28.923602402775295</c:v>
                </c:pt>
                <c:pt idx="55">
                  <c:v>-31.844821875904316</c:v>
                </c:pt>
                <c:pt idx="56">
                  <c:v>-34.838367688459051</c:v>
                </c:pt>
                <c:pt idx="57">
                  <c:v>-37.896666691800135</c:v>
                </c:pt>
                <c:pt idx="58">
                  <c:v>-41.012324321746306</c:v>
                </c:pt>
                <c:pt idx="59">
                  <c:v>-44.178016629563963</c:v>
                </c:pt>
                <c:pt idx="60">
                  <c:v>-47.386339174911186</c:v>
                </c:pt>
                <c:pt idx="61">
                  <c:v>-50.629590380528654</c:v>
                </c:pt>
                <c:pt idx="62">
                  <c:v>-53.899449647587943</c:v>
                </c:pt>
                <c:pt idx="63">
                  <c:v>-57.186478442213776</c:v>
                </c:pt>
                <c:pt idx="64">
                  <c:v>-60.479310260058611</c:v>
                </c:pt>
                <c:pt idx="65">
                  <c:v>-63.763268628854689</c:v>
                </c:pt>
                <c:pt idx="66">
                  <c:v>-67.01788206151609</c:v>
                </c:pt>
                <c:pt idx="67">
                  <c:v>-70.212163355531288</c:v>
                </c:pt>
                <c:pt idx="68">
                  <c:v>-73.295148317048032</c:v>
                </c:pt>
                <c:pt idx="69">
                  <c:v>-76.176185311485796</c:v>
                </c:pt>
                <c:pt idx="70">
                  <c:v>-78.684786548171999</c:v>
                </c:pt>
                <c:pt idx="71">
                  <c:v>-80.507876571160466</c:v>
                </c:pt>
                <c:pt idx="72">
                  <c:v>-81.199999999999946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83D-44F7-B9EE-09E626736407}"/>
            </c:ext>
          </c:extLst>
        </c:ser>
        <c:ser>
          <c:idx val="2"/>
          <c:order val="2"/>
          <c:tx>
            <c:strRef>
              <c:f>Challenge11d!$BL$1</c:f>
              <c:strCache>
                <c:ptCount val="1"/>
                <c:pt idx="0">
                  <c:v>Prim Yellow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val>
            <c:numRef>
              <c:f>Challenge11d!$BL$2:$BL$74</c:f>
              <c:numCache>
                <c:formatCode>General</c:formatCode>
                <c:ptCount val="73"/>
                <c:pt idx="0">
                  <c:v>-81.000000000000014</c:v>
                </c:pt>
                <c:pt idx="1">
                  <c:v>-80.324664527236038</c:v>
                </c:pt>
                <c:pt idx="2">
                  <c:v>-78.536977186735072</c:v>
                </c:pt>
                <c:pt idx="3">
                  <c:v>-76.063600363924365</c:v>
                </c:pt>
                <c:pt idx="4">
                  <c:v>-73.211926064170697</c:v>
                </c:pt>
                <c:pt idx="5">
                  <c:v>-70.152801881114868</c:v>
                </c:pt>
                <c:pt idx="6">
                  <c:v>-66.978281601149803</c:v>
                </c:pt>
                <c:pt idx="7">
                  <c:v>-63.740515667083869</c:v>
                </c:pt>
                <c:pt idx="8">
                  <c:v>-60.471332767274433</c:v>
                </c:pt>
                <c:pt idx="9">
                  <c:v>-57.191780858151148</c:v>
                </c:pt>
                <c:pt idx="10">
                  <c:v>-53.916932851288927</c:v>
                </c:pt>
                <c:pt idx="11">
                  <c:v>-50.658432151265316</c:v>
                </c:pt>
                <c:pt idx="12">
                  <c:v>-47.425914120590271</c:v>
                </c:pt>
                <c:pt idx="13">
                  <c:v>-44.227841405063238</c:v>
                </c:pt>
                <c:pt idx="14">
                  <c:v>-41.072019113695326</c:v>
                </c:pt>
                <c:pt idx="15">
                  <c:v>-37.965927272688909</c:v>
                </c:pt>
                <c:pt idx="16">
                  <c:v>-34.916944405933378</c:v>
                </c:pt>
                <c:pt idx="17">
                  <c:v>-31.932503218181889</c:v>
                </c:pt>
                <c:pt idx="18">
                  <c:v>-29.020201578978284</c:v>
                </c:pt>
                <c:pt idx="19">
                  <c:v>-26.187881950228238</c:v>
                </c:pt>
                <c:pt idx="20">
                  <c:v>-23.443686442595414</c:v>
                </c:pt>
                <c:pt idx="21">
                  <c:v>-20.796090983716912</c:v>
                </c:pt>
                <c:pt idx="22">
                  <c:v>-18.253919678457326</c:v>
                </c:pt>
                <c:pt idx="23">
                  <c:v>-15.826338843293241</c:v>
                </c:pt>
                <c:pt idx="24">
                  <c:v>-13.522829162237093</c:v>
                </c:pt>
                <c:pt idx="25">
                  <c:v>-11.353133846608472</c:v>
                </c:pt>
                <c:pt idx="26">
                  <c:v>-9.3271805798089495</c:v>
                </c:pt>
                <c:pt idx="27">
                  <c:v>-7.4549754343571113</c:v>
                </c:pt>
                <c:pt idx="28">
                  <c:v>-5.7464679200829467</c:v>
                </c:pt>
                <c:pt idx="29">
                  <c:v>-4.2113878970777607</c:v>
                </c:pt>
                <c:pt idx="30">
                  <c:v>-2.8590572423914975</c:v>
                </c:pt>
                <c:pt idx="31">
                  <c:v>-1.6981817751419688</c:v>
                </c:pt>
                <c:pt idx="32">
                  <c:v>-0.73663177473052222</c:v>
                </c:pt>
                <c:pt idx="33">
                  <c:v>1.8777903001219304E-2</c:v>
                </c:pt>
                <c:pt idx="34">
                  <c:v>0.56249506412772221</c:v>
                </c:pt>
                <c:pt idx="35">
                  <c:v>0.89041078904102156</c:v>
                </c:pt>
                <c:pt idx="36">
                  <c:v>1.0000000000000004</c:v>
                </c:pt>
                <c:pt idx="37">
                  <c:v>0.89041078904102156</c:v>
                </c:pt>
                <c:pt idx="38">
                  <c:v>0.56249506412772221</c:v>
                </c:pt>
                <c:pt idx="39">
                  <c:v>1.8777903001219304E-2</c:v>
                </c:pt>
                <c:pt idx="40">
                  <c:v>-0.73663177473052222</c:v>
                </c:pt>
                <c:pt idx="41">
                  <c:v>-1.6981817751419688</c:v>
                </c:pt>
                <c:pt idx="42">
                  <c:v>-2.8590572423914975</c:v>
                </c:pt>
                <c:pt idx="43">
                  <c:v>-4.2113878970777607</c:v>
                </c:pt>
                <c:pt idx="44">
                  <c:v>-5.7464679200829467</c:v>
                </c:pt>
                <c:pt idx="45">
                  <c:v>-7.4549754343571113</c:v>
                </c:pt>
                <c:pt idx="46">
                  <c:v>-9.3271805798089495</c:v>
                </c:pt>
                <c:pt idx="47">
                  <c:v>-11.353133846608472</c:v>
                </c:pt>
                <c:pt idx="48">
                  <c:v>-13.522829162237093</c:v>
                </c:pt>
                <c:pt idx="49">
                  <c:v>-15.826338843293241</c:v>
                </c:pt>
                <c:pt idx="50">
                  <c:v>-18.253919678457326</c:v>
                </c:pt>
                <c:pt idx="51">
                  <c:v>-20.796090983716912</c:v>
                </c:pt>
                <c:pt idx="52">
                  <c:v>-23.443686442595414</c:v>
                </c:pt>
                <c:pt idx="53">
                  <c:v>-26.187881950228238</c:v>
                </c:pt>
                <c:pt idx="54">
                  <c:v>-29.020201578978284</c:v>
                </c:pt>
                <c:pt idx="55">
                  <c:v>-31.932503218181889</c:v>
                </c:pt>
                <c:pt idx="56">
                  <c:v>-34.916944405933378</c:v>
                </c:pt>
                <c:pt idx="57">
                  <c:v>-37.965927272688909</c:v>
                </c:pt>
                <c:pt idx="58">
                  <c:v>-41.072019113695326</c:v>
                </c:pt>
                <c:pt idx="59">
                  <c:v>-44.227841405063238</c:v>
                </c:pt>
                <c:pt idx="60">
                  <c:v>-47.425914120590271</c:v>
                </c:pt>
                <c:pt idx="61">
                  <c:v>-50.658432151265316</c:v>
                </c:pt>
                <c:pt idx="62">
                  <c:v>-53.916932851288927</c:v>
                </c:pt>
                <c:pt idx="63">
                  <c:v>-57.191780858151148</c:v>
                </c:pt>
                <c:pt idx="64">
                  <c:v>-60.471332767274433</c:v>
                </c:pt>
                <c:pt idx="65">
                  <c:v>-63.740515667083869</c:v>
                </c:pt>
                <c:pt idx="66">
                  <c:v>-66.978281601149803</c:v>
                </c:pt>
                <c:pt idx="67">
                  <c:v>-70.152801881114868</c:v>
                </c:pt>
                <c:pt idx="68">
                  <c:v>-73.211926064170697</c:v>
                </c:pt>
                <c:pt idx="69">
                  <c:v>-76.063600363924365</c:v>
                </c:pt>
                <c:pt idx="70">
                  <c:v>-78.536977186735072</c:v>
                </c:pt>
                <c:pt idx="71">
                  <c:v>-80.324664527236038</c:v>
                </c:pt>
                <c:pt idx="72">
                  <c:v>-81.000000000000014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A83D-44F7-B9EE-09E626736407}"/>
            </c:ext>
          </c:extLst>
        </c:ser>
        <c:ser>
          <c:idx val="3"/>
          <c:order val="3"/>
          <c:tx>
            <c:strRef>
              <c:f>Challenge11d!$BM$1</c:f>
              <c:strCache>
                <c:ptCount val="1"/>
                <c:pt idx="0">
                  <c:v>Prim Green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Challenge11d!$BM$2:$BM$74</c:f>
              <c:numCache>
                <c:formatCode>General</c:formatCode>
                <c:ptCount val="73"/>
                <c:pt idx="0">
                  <c:v>-80.699999999999989</c:v>
                </c:pt>
                <c:pt idx="1">
                  <c:v>-80.048645567652855</c:v>
                </c:pt>
                <c:pt idx="2">
                  <c:v>-78.312389134550415</c:v>
                </c:pt>
                <c:pt idx="3">
                  <c:v>-75.891162506081756</c:v>
                </c:pt>
                <c:pt idx="4">
                  <c:v>-73.083531433340085</c:v>
                </c:pt>
                <c:pt idx="5">
                  <c:v>-70.060467291173282</c:v>
                </c:pt>
                <c:pt idx="6">
                  <c:v>-66.915928660799125</c:v>
                </c:pt>
                <c:pt idx="7">
                  <c:v>-63.703770659785057</c:v>
                </c:pt>
                <c:pt idx="8">
                  <c:v>-60.457060228210111</c:v>
                </c:pt>
                <c:pt idx="9">
                  <c:v>-57.197704987612461</c:v>
                </c:pt>
                <c:pt idx="10">
                  <c:v>-53.941374041547604</c:v>
                </c:pt>
                <c:pt idx="11">
                  <c:v>-50.70012958128364</c:v>
                </c:pt>
                <c:pt idx="12">
                  <c:v>-47.483905841086475</c:v>
                </c:pt>
                <c:pt idx="13">
                  <c:v>-44.301381782534023</c:v>
                </c:pt>
                <c:pt idx="14">
                  <c:v>-41.160520530381753</c:v>
                </c:pt>
                <c:pt idx="15">
                  <c:v>-38.068917694945398</c:v>
                </c:pt>
                <c:pt idx="16">
                  <c:v>-35.034035420778622</c:v>
                </c:pt>
                <c:pt idx="17">
                  <c:v>-32.063365009541492</c:v>
                </c:pt>
                <c:pt idx="18">
                  <c:v>-29.164542497609002</c:v>
                </c:pt>
                <c:pt idx="19">
                  <c:v>-26.345431093205871</c:v>
                </c:pt>
                <c:pt idx="20">
                  <c:v>-23.614178164421077</c:v>
                </c:pt>
                <c:pt idx="21">
                  <c:v>-20.979250612819751</c:v>
                </c:pt>
                <c:pt idx="22">
                  <c:v>-18.449449973122121</c:v>
                </c:pt>
                <c:pt idx="23">
                  <c:v>-16.03390692941036</c:v>
                </c:pt>
                <c:pt idx="24">
                  <c:v>-13.742053876387459</c:v>
                </c:pt>
                <c:pt idx="25">
                  <c:v>-11.58357357597809</c:v>
                </c:pt>
                <c:pt idx="26">
                  <c:v>-9.5683218509800447</c:v>
                </c:pt>
                <c:pt idx="27">
                  <c:v>-7.7062226542332901</c:v>
                </c:pt>
                <c:pt idx="28">
                  <c:v>-6.007134804896344</c:v>
                </c:pt>
                <c:pt idx="29">
                  <c:v>-4.4806912238676615</c:v>
                </c:pt>
                <c:pt idx="30">
                  <c:v>-3.1361136010809085</c:v>
                </c:pt>
                <c:pt idx="31">
                  <c:v>-1.982007966713101</c:v>
                </c:pt>
                <c:pt idx="32">
                  <c:v>-1.0261493744981516</c:v>
                </c:pt>
                <c:pt idx="33">
                  <c:v>-0.27526647476251076</c:v>
                </c:pt>
                <c:pt idx="34">
                  <c:v>0.26516129323071846</c:v>
                </c:pt>
                <c:pt idx="35">
                  <c:v>0.59108028761911846</c:v>
                </c:pt>
                <c:pt idx="36">
                  <c:v>0.70000000000000717</c:v>
                </c:pt>
                <c:pt idx="37">
                  <c:v>0.59108028761911846</c:v>
                </c:pt>
                <c:pt idx="38">
                  <c:v>0.26516129323071846</c:v>
                </c:pt>
                <c:pt idx="39">
                  <c:v>-0.27526647476251076</c:v>
                </c:pt>
                <c:pt idx="40">
                  <c:v>-1.0261493744981516</c:v>
                </c:pt>
                <c:pt idx="41">
                  <c:v>-1.982007966713101</c:v>
                </c:pt>
                <c:pt idx="42">
                  <c:v>-3.1361136010809085</c:v>
                </c:pt>
                <c:pt idx="43">
                  <c:v>-4.4806912238676615</c:v>
                </c:pt>
                <c:pt idx="44">
                  <c:v>-6.007134804896344</c:v>
                </c:pt>
                <c:pt idx="45">
                  <c:v>-7.7062226542332901</c:v>
                </c:pt>
                <c:pt idx="46">
                  <c:v>-9.5683218509800447</c:v>
                </c:pt>
                <c:pt idx="47">
                  <c:v>-11.58357357597809</c:v>
                </c:pt>
                <c:pt idx="48">
                  <c:v>-13.742053876387459</c:v>
                </c:pt>
                <c:pt idx="49">
                  <c:v>-16.03390692941036</c:v>
                </c:pt>
                <c:pt idx="50">
                  <c:v>-18.449449973122121</c:v>
                </c:pt>
                <c:pt idx="51">
                  <c:v>-20.979250612819751</c:v>
                </c:pt>
                <c:pt idx="52">
                  <c:v>-23.614178164421077</c:v>
                </c:pt>
                <c:pt idx="53">
                  <c:v>-26.345431093205871</c:v>
                </c:pt>
                <c:pt idx="54">
                  <c:v>-29.164542497609002</c:v>
                </c:pt>
                <c:pt idx="55">
                  <c:v>-32.063365009541492</c:v>
                </c:pt>
                <c:pt idx="56">
                  <c:v>-35.034035420778622</c:v>
                </c:pt>
                <c:pt idx="57">
                  <c:v>-38.068917694945398</c:v>
                </c:pt>
                <c:pt idx="58">
                  <c:v>-41.160520530381753</c:v>
                </c:pt>
                <c:pt idx="59">
                  <c:v>-44.301381782534023</c:v>
                </c:pt>
                <c:pt idx="60">
                  <c:v>-47.483905841086475</c:v>
                </c:pt>
                <c:pt idx="61">
                  <c:v>-50.70012958128364</c:v>
                </c:pt>
                <c:pt idx="62">
                  <c:v>-53.941374041547604</c:v>
                </c:pt>
                <c:pt idx="63">
                  <c:v>-57.197704987612461</c:v>
                </c:pt>
                <c:pt idx="64">
                  <c:v>-60.457060228210111</c:v>
                </c:pt>
                <c:pt idx="65">
                  <c:v>-63.703770659785057</c:v>
                </c:pt>
                <c:pt idx="66">
                  <c:v>-66.915928660799125</c:v>
                </c:pt>
                <c:pt idx="67">
                  <c:v>-70.060467291173282</c:v>
                </c:pt>
                <c:pt idx="68">
                  <c:v>-73.083531433340085</c:v>
                </c:pt>
                <c:pt idx="69">
                  <c:v>-75.891162506081756</c:v>
                </c:pt>
                <c:pt idx="70">
                  <c:v>-78.312389134550415</c:v>
                </c:pt>
                <c:pt idx="71">
                  <c:v>-80.048645567652855</c:v>
                </c:pt>
                <c:pt idx="72">
                  <c:v>-80.699999999999989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83D-44F7-B9EE-09E626736407}"/>
            </c:ext>
          </c:extLst>
        </c:ser>
        <c:ser>
          <c:idx val="4"/>
          <c:order val="4"/>
          <c:tx>
            <c:strRef>
              <c:f>Challenge11d!$BN$1</c:f>
              <c:strCache>
                <c:ptCount val="1"/>
                <c:pt idx="0">
                  <c:v>Prim Cyan</c:v>
                </c:pt>
              </c:strCache>
            </c:strRef>
          </c:tx>
          <c:spPr>
            <a:ln>
              <a:solidFill>
                <a:srgbClr val="08E8D8"/>
              </a:solidFill>
            </a:ln>
          </c:spPr>
          <c:marker>
            <c:symbol val="none"/>
          </c:marker>
          <c:val>
            <c:numRef>
              <c:f>Challenge11d!$BN$2:$BN$74</c:f>
              <c:numCache>
                <c:formatCode>General</c:formatCode>
                <c:ptCount val="73"/>
                <c:pt idx="0">
                  <c:v>-80.499999999999943</c:v>
                </c:pt>
                <c:pt idx="1">
                  <c:v>-79.863883205313329</c:v>
                </c:pt>
                <c:pt idx="2">
                  <c:v>-78.160832580435354</c:v>
                </c:pt>
                <c:pt idx="3">
                  <c:v>-75.773897464321038</c:v>
                </c:pt>
                <c:pt idx="4">
                  <c:v>-72.995602702461341</c:v>
                </c:pt>
                <c:pt idx="5">
                  <c:v>-69.996739651818331</c:v>
                </c:pt>
                <c:pt idx="6">
                  <c:v>-66.872404279756424</c:v>
                </c:pt>
                <c:pt idx="7">
                  <c:v>-63.677535982906932</c:v>
                </c:pt>
                <c:pt idx="8">
                  <c:v>-60.446009413877746</c:v>
                </c:pt>
                <c:pt idx="9">
                  <c:v>-57.20030083432178</c:v>
                </c:pt>
                <c:pt idx="10">
                  <c:v>-53.956477177882732</c:v>
                </c:pt>
                <c:pt idx="11">
                  <c:v>-50.726881733525225</c:v>
                </c:pt>
                <c:pt idx="12">
                  <c:v>-47.521650172847053</c:v>
                </c:pt>
                <c:pt idx="13">
                  <c:v>-44.349607691367176</c:v>
                </c:pt>
                <c:pt idx="14">
                  <c:v>-41.218824482494654</c:v>
                </c:pt>
                <c:pt idx="15">
                  <c:v>-38.136974627497835</c:v>
                </c:pt>
                <c:pt idx="16">
                  <c:v>-35.111577154387263</c:v>
                </c:pt>
                <c:pt idx="17">
                  <c:v>-32.150163330355824</c:v>
                </c:pt>
                <c:pt idx="18">
                  <c:v>-29.260395344999665</c:v>
                </c:pt>
                <c:pt idx="19">
                  <c:v>-26.450150793352591</c:v>
                </c:pt>
                <c:pt idx="20">
                  <c:v>-23.727580987013919</c:v>
                </c:pt>
                <c:pt idx="21">
                  <c:v>-21.10114716316215</c:v>
                </c:pt>
                <c:pt idx="22">
                  <c:v>-18.579636106239043</c:v>
                </c:pt>
                <c:pt idx="23">
                  <c:v>-16.172155012307972</c:v>
                </c:pt>
                <c:pt idx="24">
                  <c:v>-13.888104345598169</c:v>
                </c:pt>
                <c:pt idx="25">
                  <c:v>-11.737126849258059</c:v>
                </c:pt>
                <c:pt idx="26">
                  <c:v>-9.7290307582587463</c:v>
                </c:pt>
                <c:pt idx="27">
                  <c:v>-7.8736856523890442</c:v>
                </c:pt>
                <c:pt idx="28">
                  <c:v>-6.1808903276468401</c:v>
                </c:pt>
                <c:pt idx="29">
                  <c:v>-4.6602135817779367</c:v>
                </c:pt>
                <c:pt idx="30">
                  <c:v>-3.3208108741504194</c:v>
                </c:pt>
                <c:pt idx="31">
                  <c:v>-2.1712223092657288</c:v>
                </c:pt>
                <c:pt idx="32">
                  <c:v>-1.2191600680114911</c:v>
                </c:pt>
                <c:pt idx="33">
                  <c:v>-0.47129591468626197</c:v>
                </c:pt>
                <c:pt idx="34">
                  <c:v>6.6938698928313597E-2</c:v>
                </c:pt>
                <c:pt idx="35">
                  <c:v>0.39152657760901721</c:v>
                </c:pt>
                <c:pt idx="36">
                  <c:v>0.50000000000000311</c:v>
                </c:pt>
                <c:pt idx="37">
                  <c:v>0.39152657760901721</c:v>
                </c:pt>
                <c:pt idx="38">
                  <c:v>6.6938698928313597E-2</c:v>
                </c:pt>
                <c:pt idx="39">
                  <c:v>-0.47129591468626197</c:v>
                </c:pt>
                <c:pt idx="40">
                  <c:v>-1.2191600680114911</c:v>
                </c:pt>
                <c:pt idx="41">
                  <c:v>-2.1712223092657288</c:v>
                </c:pt>
                <c:pt idx="42">
                  <c:v>-3.3208108741504194</c:v>
                </c:pt>
                <c:pt idx="43">
                  <c:v>-4.6602135817779367</c:v>
                </c:pt>
                <c:pt idx="44">
                  <c:v>-6.1808903276468401</c:v>
                </c:pt>
                <c:pt idx="45">
                  <c:v>-7.8736856523890442</c:v>
                </c:pt>
                <c:pt idx="46">
                  <c:v>-9.7290307582587463</c:v>
                </c:pt>
                <c:pt idx="47">
                  <c:v>-11.737126849258059</c:v>
                </c:pt>
                <c:pt idx="48">
                  <c:v>-13.888104345598169</c:v>
                </c:pt>
                <c:pt idx="49">
                  <c:v>-16.172155012307972</c:v>
                </c:pt>
                <c:pt idx="50">
                  <c:v>-18.579636106239043</c:v>
                </c:pt>
                <c:pt idx="51">
                  <c:v>-21.10114716316215</c:v>
                </c:pt>
                <c:pt idx="52">
                  <c:v>-23.727580987013919</c:v>
                </c:pt>
                <c:pt idx="53">
                  <c:v>-26.450150793352591</c:v>
                </c:pt>
                <c:pt idx="54">
                  <c:v>-29.260395344999665</c:v>
                </c:pt>
                <c:pt idx="55">
                  <c:v>-32.150163330355824</c:v>
                </c:pt>
                <c:pt idx="56">
                  <c:v>-35.111577154387263</c:v>
                </c:pt>
                <c:pt idx="57">
                  <c:v>-38.136974627497835</c:v>
                </c:pt>
                <c:pt idx="58">
                  <c:v>-41.218824482494654</c:v>
                </c:pt>
                <c:pt idx="59">
                  <c:v>-44.349607691367176</c:v>
                </c:pt>
                <c:pt idx="60">
                  <c:v>-47.521650172847053</c:v>
                </c:pt>
                <c:pt idx="61">
                  <c:v>-50.726881733525225</c:v>
                </c:pt>
                <c:pt idx="62">
                  <c:v>-53.956477177882732</c:v>
                </c:pt>
                <c:pt idx="63">
                  <c:v>-57.20030083432178</c:v>
                </c:pt>
                <c:pt idx="64">
                  <c:v>-60.446009413877746</c:v>
                </c:pt>
                <c:pt idx="65">
                  <c:v>-63.677535982906932</c:v>
                </c:pt>
                <c:pt idx="66">
                  <c:v>-66.872404279756424</c:v>
                </c:pt>
                <c:pt idx="67">
                  <c:v>-69.996739651818331</c:v>
                </c:pt>
                <c:pt idx="68">
                  <c:v>-72.995602702461341</c:v>
                </c:pt>
                <c:pt idx="69">
                  <c:v>-75.773897464321038</c:v>
                </c:pt>
                <c:pt idx="70">
                  <c:v>-78.160832580435354</c:v>
                </c:pt>
                <c:pt idx="71">
                  <c:v>-79.863883205313329</c:v>
                </c:pt>
                <c:pt idx="72">
                  <c:v>-80.499999999999943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A83D-44F7-B9EE-09E626736407}"/>
            </c:ext>
          </c:extLst>
        </c:ser>
        <c:ser>
          <c:idx val="5"/>
          <c:order val="5"/>
          <c:tx>
            <c:strRef>
              <c:f>Challenge11d!$BO$1</c:f>
              <c:strCache>
                <c:ptCount val="1"/>
                <c:pt idx="0">
                  <c:v>Prim Blue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val>
            <c:numRef>
              <c:f>Challenge11d!$BO$2:$BO$74</c:f>
              <c:numCache>
                <c:formatCode>General</c:formatCode>
                <c:ptCount val="73"/>
                <c:pt idx="0">
                  <c:v>-80.200000000000017</c:v>
                </c:pt>
                <c:pt idx="1">
                  <c:v>-79.585694890032798</c:v>
                </c:pt>
                <c:pt idx="2">
                  <c:v>-77.930888960668113</c:v>
                </c:pt>
                <c:pt idx="3">
                  <c:v>-75.594652887645978</c:v>
                </c:pt>
                <c:pt idx="4">
                  <c:v>-72.860282981228522</c:v>
                </c:pt>
                <c:pt idx="5">
                  <c:v>-69.89793268053289</c:v>
                </c:pt>
                <c:pt idx="6">
                  <c:v>-66.804206151384236</c:v>
                </c:pt>
                <c:pt idx="7">
                  <c:v>-63.635587381720434</c:v>
                </c:pt>
                <c:pt idx="8">
                  <c:v>-60.427132978031899</c:v>
                </c:pt>
                <c:pt idx="9">
                  <c:v>-57.202163594953298</c:v>
                </c:pt>
                <c:pt idx="10">
                  <c:v>-53.977342349348255</c:v>
                </c:pt>
                <c:pt idx="11">
                  <c:v>-50.765436372707491</c:v>
                </c:pt>
                <c:pt idx="12">
                  <c:v>-47.576886376657974</c:v>
                </c:pt>
                <c:pt idx="13">
                  <c:v>-44.420739697008131</c:v>
                </c:pt>
                <c:pt idx="14">
                  <c:v>-41.305229563529302</c:v>
                </c:pt>
                <c:pt idx="15">
                  <c:v>-38.238149788202421</c:v>
                </c:pt>
                <c:pt idx="16">
                  <c:v>-35.227106365395258</c:v>
                </c:pt>
                <c:pt idx="17">
                  <c:v>-32.279691820705295</c:v>
                </c:pt>
                <c:pt idx="18">
                  <c:v>-29.403608609652661</c:v>
                </c:pt>
                <c:pt idx="19">
                  <c:v>-26.606756724075719</c:v>
                </c:pt>
                <c:pt idx="20">
                  <c:v>-23.897294037945287</c:v>
                </c:pt>
                <c:pt idx="21">
                  <c:v>-21.283673815197645</c:v>
                </c:pt>
                <c:pt idx="22">
                  <c:v>-18.774661156642907</c:v>
                </c:pt>
                <c:pt idx="23">
                  <c:v>-16.37932842595098</c:v>
                </c:pt>
                <c:pt idx="24">
                  <c:v>-14.107028585907896</c:v>
                </c:pt>
                <c:pt idx="25">
                  <c:v>-11.96734477408404</c:v>
                </c:pt>
                <c:pt idx="26">
                  <c:v>-9.970014323948698</c:v>
                </c:pt>
                <c:pt idx="27">
                  <c:v>-8.1248258165758251</c:v>
                </c:pt>
                <c:pt idx="28">
                  <c:v>-6.4414886687280948</c:v>
                </c:pt>
                <c:pt idx="29">
                  <c:v>-4.929476245828579</c:v>
                </c:pt>
                <c:pt idx="30">
                  <c:v>-3.5978454987274051</c:v>
                </c:pt>
                <c:pt idx="31">
                  <c:v>-2.4550385380549851</c:v>
                </c:pt>
                <c:pt idx="32">
                  <c:v>-1.5086741445594403</c:v>
                </c:pt>
                <c:pt idx="33">
                  <c:v>-0.76533962191501936</c:v>
                </c:pt>
                <c:pt idx="34">
                  <c:v>-0.23039520623060658</c:v>
                </c:pt>
                <c:pt idx="35">
                  <c:v>9.2195976105741859E-2</c:v>
                </c:pt>
                <c:pt idx="36">
                  <c:v>0.2000000000000077</c:v>
                </c:pt>
                <c:pt idx="37">
                  <c:v>9.2195976105741859E-2</c:v>
                </c:pt>
                <c:pt idx="38">
                  <c:v>-0.23039520623060658</c:v>
                </c:pt>
                <c:pt idx="39">
                  <c:v>-0.76533962191501936</c:v>
                </c:pt>
                <c:pt idx="40">
                  <c:v>-1.5086741445594403</c:v>
                </c:pt>
                <c:pt idx="41">
                  <c:v>-2.4550385380549851</c:v>
                </c:pt>
                <c:pt idx="42">
                  <c:v>-3.5978454987274051</c:v>
                </c:pt>
                <c:pt idx="43">
                  <c:v>-4.929476245828579</c:v>
                </c:pt>
                <c:pt idx="44">
                  <c:v>-6.4414886687280948</c:v>
                </c:pt>
                <c:pt idx="45">
                  <c:v>-8.1248258165758251</c:v>
                </c:pt>
                <c:pt idx="46">
                  <c:v>-9.970014323948698</c:v>
                </c:pt>
                <c:pt idx="47">
                  <c:v>-11.96734477408404</c:v>
                </c:pt>
                <c:pt idx="48">
                  <c:v>-14.107028585907896</c:v>
                </c:pt>
                <c:pt idx="49">
                  <c:v>-16.37932842595098</c:v>
                </c:pt>
                <c:pt idx="50">
                  <c:v>-18.774661156642907</c:v>
                </c:pt>
                <c:pt idx="51">
                  <c:v>-21.283673815197645</c:v>
                </c:pt>
                <c:pt idx="52">
                  <c:v>-23.897294037945287</c:v>
                </c:pt>
                <c:pt idx="53">
                  <c:v>-26.606756724075719</c:v>
                </c:pt>
                <c:pt idx="54">
                  <c:v>-29.403608609652661</c:v>
                </c:pt>
                <c:pt idx="55">
                  <c:v>-32.279691820705295</c:v>
                </c:pt>
                <c:pt idx="56">
                  <c:v>-35.227106365395258</c:v>
                </c:pt>
                <c:pt idx="57">
                  <c:v>-38.238149788202421</c:v>
                </c:pt>
                <c:pt idx="58">
                  <c:v>-41.305229563529302</c:v>
                </c:pt>
                <c:pt idx="59">
                  <c:v>-44.420739697008131</c:v>
                </c:pt>
                <c:pt idx="60">
                  <c:v>-47.576886376657974</c:v>
                </c:pt>
                <c:pt idx="61">
                  <c:v>-50.765436372707491</c:v>
                </c:pt>
                <c:pt idx="62">
                  <c:v>-53.977342349348255</c:v>
                </c:pt>
                <c:pt idx="63">
                  <c:v>-57.202163594953298</c:v>
                </c:pt>
                <c:pt idx="64">
                  <c:v>-60.427132978031899</c:v>
                </c:pt>
                <c:pt idx="65">
                  <c:v>-63.635587381720434</c:v>
                </c:pt>
                <c:pt idx="66">
                  <c:v>-66.804206151384236</c:v>
                </c:pt>
                <c:pt idx="67">
                  <c:v>-69.89793268053289</c:v>
                </c:pt>
                <c:pt idx="68">
                  <c:v>-72.860282981228522</c:v>
                </c:pt>
                <c:pt idx="69">
                  <c:v>-75.594652887645978</c:v>
                </c:pt>
                <c:pt idx="70">
                  <c:v>-77.930888960668113</c:v>
                </c:pt>
                <c:pt idx="71">
                  <c:v>-79.585694890032798</c:v>
                </c:pt>
                <c:pt idx="72">
                  <c:v>-80.200000000000017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83D-44F7-B9EE-09E626736407}"/>
            </c:ext>
          </c:extLst>
        </c:ser>
        <c:ser>
          <c:idx val="6"/>
          <c:order val="6"/>
          <c:tx>
            <c:strRef>
              <c:f>Challenge11d!$BP$1</c:f>
              <c:strCache>
                <c:ptCount val="1"/>
                <c:pt idx="0">
                  <c:v>Prim Violet 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Challenge11d!$BP$2:$BP$74</c:f>
              <c:numCache>
                <c:formatCode>General</c:formatCode>
                <c:ptCount val="73"/>
                <c:pt idx="0">
                  <c:v>-79.999999999999943</c:v>
                </c:pt>
                <c:pt idx="1">
                  <c:v>-79.399582152810154</c:v>
                </c:pt>
                <c:pt idx="2">
                  <c:v>-77.77593037045402</c:v>
                </c:pt>
                <c:pt idx="3">
                  <c:v>-75.47298942404251</c:v>
                </c:pt>
                <c:pt idx="4">
                  <c:v>-72.76782730489802</c:v>
                </c:pt>
                <c:pt idx="5">
                  <c:v>-69.829942228804384</c:v>
                </c:pt>
                <c:pt idx="6">
                  <c:v>-66.756813017511263</c:v>
                </c:pt>
                <c:pt idx="7">
                  <c:v>-63.605897038077494</c:v>
                </c:pt>
                <c:pt idx="8">
                  <c:v>-60.413017510487222</c:v>
                </c:pt>
                <c:pt idx="9">
                  <c:v>-57.202051247628077</c:v>
                </c:pt>
                <c:pt idx="10">
                  <c:v>-53.990057801161633</c:v>
                </c:pt>
                <c:pt idx="11">
                  <c:v>-50.790087938833835</c:v>
                </c:pt>
                <c:pt idx="12">
                  <c:v>-47.612787418140783</c:v>
                </c:pt>
                <c:pt idx="13">
                  <c:v>-44.467353381583408</c:v>
                </c:pt>
                <c:pt idx="14">
                  <c:v>-41.362129279929164</c:v>
                </c:pt>
                <c:pt idx="15">
                  <c:v>-38.304990036155132</c:v>
                </c:pt>
                <c:pt idx="16">
                  <c:v>-35.303600678024623</c:v>
                </c:pt>
                <c:pt idx="17">
                  <c:v>-32.365595418412717</c:v>
                </c:pt>
                <c:pt idx="18">
                  <c:v>-29.498704231103652</c:v>
                </c:pt>
                <c:pt idx="19">
                  <c:v>-26.710842572910497</c:v>
                </c:pt>
                <c:pt idx="20">
                  <c:v>-24.010173117467684</c:v>
                </c:pt>
                <c:pt idx="21">
                  <c:v>-21.405144158221773</c:v>
                </c:pt>
                <c:pt idx="22">
                  <c:v>-18.904506632809159</c:v>
                </c:pt>
                <c:pt idx="23">
                  <c:v>-16.517309949121177</c:v>
                </c:pt>
                <c:pt idx="24">
                  <c:v>-14.252875665405268</c:v>
                </c:pt>
                <c:pt idx="25">
                  <c:v>-12.120747464575444</c:v>
                </c:pt>
                <c:pt idx="26">
                  <c:v>-10.130615733294258</c:v>
                </c:pt>
                <c:pt idx="27">
                  <c:v>-8.292215427762061</c:v>
                </c:pt>
                <c:pt idx="28">
                  <c:v>-6.6151968152775487</c:v>
                </c:pt>
                <c:pt idx="29">
                  <c:v>-5.1089701400765604</c:v>
                </c:pt>
                <c:pt idx="30">
                  <c:v>-3.7825272365674527</c:v>
                </c:pt>
                <c:pt idx="31">
                  <c:v>-2.6442454791910479</c:v>
                </c:pt>
                <c:pt idx="32">
                  <c:v>-1.7016819838090687</c:v>
                </c:pt>
                <c:pt idx="33">
                  <c:v>-0.96136832130208782</c:v>
                </c:pt>
                <c:pt idx="34">
                  <c:v>-0.42861775647863509</c:v>
                </c:pt>
                <c:pt idx="35">
                  <c:v>-0.10735776674746005</c:v>
                </c:pt>
                <c:pt idx="36">
                  <c:v>0</c:v>
                </c:pt>
                <c:pt idx="37">
                  <c:v>-0.10735776674746005</c:v>
                </c:pt>
                <c:pt idx="38">
                  <c:v>-0.42861775647863509</c:v>
                </c:pt>
                <c:pt idx="39">
                  <c:v>-0.96136832130208782</c:v>
                </c:pt>
                <c:pt idx="40">
                  <c:v>-1.7016819838090687</c:v>
                </c:pt>
                <c:pt idx="41">
                  <c:v>-2.6442454791910479</c:v>
                </c:pt>
                <c:pt idx="42">
                  <c:v>-3.7825272365674527</c:v>
                </c:pt>
                <c:pt idx="43">
                  <c:v>-5.1089701400765604</c:v>
                </c:pt>
                <c:pt idx="44">
                  <c:v>-6.6151968152775487</c:v>
                </c:pt>
                <c:pt idx="45">
                  <c:v>-8.292215427762061</c:v>
                </c:pt>
                <c:pt idx="46">
                  <c:v>-10.130615733294258</c:v>
                </c:pt>
                <c:pt idx="47">
                  <c:v>-12.120747464575444</c:v>
                </c:pt>
                <c:pt idx="48">
                  <c:v>-14.252875665405268</c:v>
                </c:pt>
                <c:pt idx="49">
                  <c:v>-16.517309949121177</c:v>
                </c:pt>
                <c:pt idx="50">
                  <c:v>-18.904506632809159</c:v>
                </c:pt>
                <c:pt idx="51">
                  <c:v>-21.405144158221773</c:v>
                </c:pt>
                <c:pt idx="52">
                  <c:v>-24.010173117467684</c:v>
                </c:pt>
                <c:pt idx="53">
                  <c:v>-26.710842572910497</c:v>
                </c:pt>
                <c:pt idx="54">
                  <c:v>-29.498704231103652</c:v>
                </c:pt>
                <c:pt idx="55">
                  <c:v>-32.365595418412717</c:v>
                </c:pt>
                <c:pt idx="56">
                  <c:v>-35.303600678024623</c:v>
                </c:pt>
                <c:pt idx="57">
                  <c:v>-38.304990036155132</c:v>
                </c:pt>
                <c:pt idx="58">
                  <c:v>-41.362129279929164</c:v>
                </c:pt>
                <c:pt idx="59">
                  <c:v>-44.467353381583408</c:v>
                </c:pt>
                <c:pt idx="60">
                  <c:v>-47.612787418140783</c:v>
                </c:pt>
                <c:pt idx="61">
                  <c:v>-50.790087938833835</c:v>
                </c:pt>
                <c:pt idx="62">
                  <c:v>-53.990057801161633</c:v>
                </c:pt>
                <c:pt idx="63">
                  <c:v>-57.202051247628077</c:v>
                </c:pt>
                <c:pt idx="64">
                  <c:v>-60.413017510487222</c:v>
                </c:pt>
                <c:pt idx="65">
                  <c:v>-63.605897038077494</c:v>
                </c:pt>
                <c:pt idx="66">
                  <c:v>-66.756813017511263</c:v>
                </c:pt>
                <c:pt idx="67">
                  <c:v>-69.829942228804384</c:v>
                </c:pt>
                <c:pt idx="68">
                  <c:v>-72.76782730489802</c:v>
                </c:pt>
                <c:pt idx="69">
                  <c:v>-75.47298942404251</c:v>
                </c:pt>
                <c:pt idx="70">
                  <c:v>-77.77593037045402</c:v>
                </c:pt>
                <c:pt idx="71">
                  <c:v>-79.399582152810154</c:v>
                </c:pt>
                <c:pt idx="72">
                  <c:v>-79.999999999999943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A83D-44F7-B9EE-09E626736407}"/>
            </c:ext>
          </c:extLst>
        </c:ser>
        <c:ser>
          <c:idx val="8"/>
          <c:order val="8"/>
          <c:tx>
            <c:strRef>
              <c:f>Challenge11d!$BR$1</c:f>
              <c:strCache>
                <c:ptCount val="1"/>
                <c:pt idx="0">
                  <c:v>Sec Red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Challenge11d!$BR$2:$BR$74</c:f>
              <c:numCache>
                <c:formatCode>General</c:formatCode>
                <c:ptCount val="73"/>
                <c:pt idx="0">
                  <c:v>-90</c:v>
                </c:pt>
                <c:pt idx="1">
                  <c:v>-86.170280149527301</c:v>
                </c:pt>
                <c:pt idx="2">
                  <c:v>-82.343579408321503</c:v>
                </c:pt>
                <c:pt idx="3">
                  <c:v>-78.522941538381303</c:v>
                </c:pt>
                <c:pt idx="4">
                  <c:v>-74.711459887411138</c:v>
                </c:pt>
                <c:pt idx="5">
                  <c:v>-70.912302881974696</c:v>
                </c:pt>
                <c:pt idx="6">
                  <c:v>-67.128740359702022</c:v>
                </c:pt>
                <c:pt idx="7">
                  <c:v>-63.364171016670795</c:v>
                </c:pt>
                <c:pt idx="8">
                  <c:v>-59.622151240126968</c:v>
                </c:pt>
                <c:pt idx="9">
                  <c:v>-55.906425585339818</c:v>
                </c:pt>
                <c:pt idx="10">
                  <c:v>-52.220959135509226</c:v>
                </c:pt>
                <c:pt idx="11">
                  <c:v>-48.569971951060673</c:v>
                </c:pt>
                <c:pt idx="12">
                  <c:v>-44.957975763777988</c:v>
                </c:pt>
                <c:pt idx="13">
                  <c:v>-41.389812994739657</c:v>
                </c:pt>
                <c:pt idx="14">
                  <c:v>-37.870698063585664</c:v>
                </c:pt>
                <c:pt idx="15">
                  <c:v>-34.406260798556509</c:v>
                </c:pt>
                <c:pt idx="16">
                  <c:v>-31.002591537792679</c:v>
                </c:pt>
                <c:pt idx="17">
                  <c:v>-27.666287215947815</c:v>
                </c:pt>
                <c:pt idx="18">
                  <c:v>-24.40449733788563</c:v>
                </c:pt>
                <c:pt idx="19">
                  <c:v>-21.224968234553248</c:v>
                </c:pt>
                <c:pt idx="20">
                  <c:v>-18.136083359299445</c:v>
                </c:pt>
                <c:pt idx="21">
                  <c:v>-15.146896608008305</c:v>
                </c:pt>
                <c:pt idx="22">
                  <c:v>-12.26715474110213</c:v>
                </c:pt>
                <c:pt idx="23">
                  <c:v>-9.5073039839702265</c:v>
                </c:pt>
                <c:pt idx="24">
                  <c:v>-6.8784748596813339</c:v>
                </c:pt>
                <c:pt idx="25">
                  <c:v>-4.3924383956120518</c:v>
                </c:pt>
                <c:pt idx="26">
                  <c:v>-2.0615262463878485</c:v>
                </c:pt>
                <c:pt idx="27">
                  <c:v>0.10149273184837261</c:v>
                </c:pt>
                <c:pt idx="28">
                  <c:v>2.0835859947644484</c:v>
                </c:pt>
                <c:pt idx="29">
                  <c:v>3.8716852314928545</c:v>
                </c:pt>
                <c:pt idx="30">
                  <c:v>5.4529692177376452</c:v>
                </c:pt>
                <c:pt idx="31">
                  <c:v>6.8151966625128688</c:v>
                </c:pt>
                <c:pt idx="32">
                  <c:v>7.9470772599689781</c:v>
                </c:pt>
                <c:pt idx="33">
                  <c:v>8.8386616735483052</c:v>
                </c:pt>
                <c:pt idx="34">
                  <c:v>9.481724319865398</c:v>
                </c:pt>
                <c:pt idx="35">
                  <c:v>9.8701081795361389</c:v>
                </c:pt>
                <c:pt idx="36">
                  <c:v>10.000000000000002</c:v>
                </c:pt>
                <c:pt idx="37">
                  <c:v>9.8701081795361389</c:v>
                </c:pt>
                <c:pt idx="38">
                  <c:v>9.481724319865398</c:v>
                </c:pt>
                <c:pt idx="39">
                  <c:v>8.8386616735483052</c:v>
                </c:pt>
                <c:pt idx="40">
                  <c:v>7.9470772599689781</c:v>
                </c:pt>
                <c:pt idx="41">
                  <c:v>6.8151966625128688</c:v>
                </c:pt>
                <c:pt idx="42">
                  <c:v>5.4529692177376452</c:v>
                </c:pt>
                <c:pt idx="43">
                  <c:v>3.8716852314928545</c:v>
                </c:pt>
                <c:pt idx="44">
                  <c:v>2.0835859947644484</c:v>
                </c:pt>
                <c:pt idx="45">
                  <c:v>0.10149273184837261</c:v>
                </c:pt>
                <c:pt idx="46">
                  <c:v>-2.0615262463878485</c:v>
                </c:pt>
                <c:pt idx="47">
                  <c:v>-4.3924383956120518</c:v>
                </c:pt>
                <c:pt idx="48">
                  <c:v>-6.8784748596813339</c:v>
                </c:pt>
                <c:pt idx="49">
                  <c:v>-9.5073039839702265</c:v>
                </c:pt>
                <c:pt idx="50">
                  <c:v>-12.26715474110213</c:v>
                </c:pt>
                <c:pt idx="51">
                  <c:v>-15.146896608008305</c:v>
                </c:pt>
                <c:pt idx="52">
                  <c:v>-18.136083359299445</c:v>
                </c:pt>
                <c:pt idx="53">
                  <c:v>-21.224968234553248</c:v>
                </c:pt>
                <c:pt idx="54">
                  <c:v>-24.40449733788563</c:v>
                </c:pt>
                <c:pt idx="55">
                  <c:v>-27.666287215947815</c:v>
                </c:pt>
                <c:pt idx="56">
                  <c:v>-31.002591537792679</c:v>
                </c:pt>
                <c:pt idx="57">
                  <c:v>-34.406260798556509</c:v>
                </c:pt>
                <c:pt idx="58">
                  <c:v>-37.870698063585664</c:v>
                </c:pt>
                <c:pt idx="59">
                  <c:v>-41.389812994739657</c:v>
                </c:pt>
                <c:pt idx="60">
                  <c:v>-44.957975763777988</c:v>
                </c:pt>
                <c:pt idx="61">
                  <c:v>-48.569971951060673</c:v>
                </c:pt>
                <c:pt idx="62">
                  <c:v>-52.220959135509226</c:v>
                </c:pt>
                <c:pt idx="63">
                  <c:v>-55.906425585339818</c:v>
                </c:pt>
                <c:pt idx="64">
                  <c:v>-59.622151240126968</c:v>
                </c:pt>
                <c:pt idx="65">
                  <c:v>-63.364171016670795</c:v>
                </c:pt>
                <c:pt idx="66">
                  <c:v>-67.128740359702022</c:v>
                </c:pt>
                <c:pt idx="67">
                  <c:v>-70.912302881974696</c:v>
                </c:pt>
                <c:pt idx="68">
                  <c:v>-74.711459887411138</c:v>
                </c:pt>
                <c:pt idx="69">
                  <c:v>-78.522941538381303</c:v>
                </c:pt>
                <c:pt idx="70">
                  <c:v>-82.343579408321503</c:v>
                </c:pt>
                <c:pt idx="71">
                  <c:v>-86.170280149527301</c:v>
                </c:pt>
                <c:pt idx="72">
                  <c:v>-90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83D-44F7-B9EE-09E626736407}"/>
            </c:ext>
          </c:extLst>
        </c:ser>
        <c:ser>
          <c:idx val="9"/>
          <c:order val="9"/>
          <c:tx>
            <c:strRef>
              <c:f>Challenge11d!$BS$1</c:f>
              <c:strCache>
                <c:ptCount val="1"/>
                <c:pt idx="0">
                  <c:v>Sec Orange</c:v>
                </c:pt>
              </c:strCache>
            </c:strRef>
          </c:tx>
          <c:spPr>
            <a:ln>
              <a:solidFill>
                <a:srgbClr val="FF9933"/>
              </a:solidFill>
            </a:ln>
          </c:spPr>
          <c:marker>
            <c:symbol val="none"/>
          </c:marker>
          <c:val>
            <c:numRef>
              <c:f>Challenge11d!$BS$2:$BS$74</c:f>
              <c:numCache>
                <c:formatCode>General</c:formatCode>
                <c:ptCount val="73"/>
                <c:pt idx="0">
                  <c:v>-89.499999999999403</c:v>
                </c:pt>
                <c:pt idx="1">
                  <c:v>-86.123942765363751</c:v>
                </c:pt>
                <c:pt idx="2">
                  <c:v>-82.299403715907829</c:v>
                </c:pt>
                <c:pt idx="3">
                  <c:v>-78.470155066783917</c:v>
                </c:pt>
                <c:pt idx="4">
                  <c:v>-74.64730109678051</c:v>
                </c:pt>
                <c:pt idx="5">
                  <c:v>-70.835608812081716</c:v>
                </c:pt>
                <c:pt idx="6">
                  <c:v>-67.03886894955167</c:v>
                </c:pt>
                <c:pt idx="7">
                  <c:v>-63.260692783287567</c:v>
                </c:pt>
                <c:pt idx="8">
                  <c:v>-59.50473395047257</c:v>
                </c:pt>
                <c:pt idx="9">
                  <c:v>-55.774783494185279</c:v>
                </c:pt>
                <c:pt idx="10">
                  <c:v>-52.0748282524589</c:v>
                </c:pt>
                <c:pt idx="11">
                  <c:v>-48.409097364607668</c:v>
                </c:pt>
                <c:pt idx="12">
                  <c:v>-44.782105257561824</c:v>
                </c:pt>
                <c:pt idx="13">
                  <c:v>-41.198694362118971</c:v>
                </c:pt>
                <c:pt idx="14">
                  <c:v>-37.664078899176651</c:v>
                </c:pt>
                <c:pt idx="15">
                  <c:v>-34.183890199218219</c:v>
                </c:pt>
                <c:pt idx="16">
                  <c:v>-30.764223485005385</c:v>
                </c:pt>
                <c:pt idx="17">
                  <c:v>-27.41168560192369</c:v>
                </c:pt>
                <c:pt idx="18">
                  <c:v>-24.133442710597581</c:v>
                </c:pt>
                <c:pt idx="19">
                  <c:v>-20.937266403219624</c:v>
                </c:pt>
                <c:pt idx="20">
                  <c:v>-17.831576033344579</c:v>
                </c:pt>
                <c:pt idx="21">
                  <c:v>-14.825474240173453</c:v>
                </c:pt>
                <c:pt idx="22">
                  <c:v>-11.928771703660253</c:v>
                </c:pt>
                <c:pt idx="23">
                  <c:v>-9.1519961160269006</c:v>
                </c:pt>
                <c:pt idx="24">
                  <c:v>-6.5063792711766952</c:v>
                </c:pt>
                <c:pt idx="25">
                  <c:v>-4.0038151883050759</c:v>
                </c:pt>
                <c:pt idx="26">
                  <c:v>-1.6567815071409639</c:v>
                </c:pt>
                <c:pt idx="27">
                  <c:v>0.52178369036065064</c:v>
                </c:pt>
                <c:pt idx="28">
                  <c:v>2.5186566031449744</c:v>
                </c:pt>
                <c:pt idx="29">
                  <c:v>4.3205587349453323</c:v>
                </c:pt>
                <c:pt idx="30">
                  <c:v>5.9144451003930669</c:v>
                </c:pt>
                <c:pt idx="31">
                  <c:v>7.2878448503979048</c:v>
                </c:pt>
                <c:pt idx="32">
                  <c:v>8.4292424025552197</c:v>
                </c:pt>
                <c:pt idx="33">
                  <c:v>9.3284792810031192</c:v>
                </c:pt>
                <c:pt idx="34">
                  <c:v>9.9771495787536466</c:v>
                </c:pt>
                <c:pt idx="35">
                  <c:v>10.368956950389993</c:v>
                </c:pt>
                <c:pt idx="36">
                  <c:v>10.500000000000004</c:v>
                </c:pt>
                <c:pt idx="37">
                  <c:v>10.368956950389993</c:v>
                </c:pt>
                <c:pt idx="38">
                  <c:v>9.9771495787536466</c:v>
                </c:pt>
                <c:pt idx="39">
                  <c:v>9.3284792810031192</c:v>
                </c:pt>
                <c:pt idx="40">
                  <c:v>8.4292424025552197</c:v>
                </c:pt>
                <c:pt idx="41">
                  <c:v>7.2878448503979048</c:v>
                </c:pt>
                <c:pt idx="42">
                  <c:v>5.9144451003930669</c:v>
                </c:pt>
                <c:pt idx="43">
                  <c:v>4.3205587349453323</c:v>
                </c:pt>
                <c:pt idx="44">
                  <c:v>2.5186566031449744</c:v>
                </c:pt>
                <c:pt idx="45">
                  <c:v>0.52178369036065064</c:v>
                </c:pt>
                <c:pt idx="46">
                  <c:v>-1.6567815071409639</c:v>
                </c:pt>
                <c:pt idx="47">
                  <c:v>-4.0038151883050759</c:v>
                </c:pt>
                <c:pt idx="48">
                  <c:v>-6.5063792711766952</c:v>
                </c:pt>
                <c:pt idx="49">
                  <c:v>-9.1519961160269006</c:v>
                </c:pt>
                <c:pt idx="50">
                  <c:v>-11.928771703660253</c:v>
                </c:pt>
                <c:pt idx="51">
                  <c:v>-14.825474240173453</c:v>
                </c:pt>
                <c:pt idx="52">
                  <c:v>-17.831576033344579</c:v>
                </c:pt>
                <c:pt idx="53">
                  <c:v>-20.937266403219624</c:v>
                </c:pt>
                <c:pt idx="54">
                  <c:v>-24.133442710597581</c:v>
                </c:pt>
                <c:pt idx="55">
                  <c:v>-27.41168560192369</c:v>
                </c:pt>
                <c:pt idx="56">
                  <c:v>-30.764223485005385</c:v>
                </c:pt>
                <c:pt idx="57">
                  <c:v>-34.183890199218219</c:v>
                </c:pt>
                <c:pt idx="58">
                  <c:v>-37.664078899176651</c:v>
                </c:pt>
                <c:pt idx="59">
                  <c:v>-41.198694362118971</c:v>
                </c:pt>
                <c:pt idx="60">
                  <c:v>-44.782105257561824</c:v>
                </c:pt>
                <c:pt idx="61">
                  <c:v>-48.409097364607668</c:v>
                </c:pt>
                <c:pt idx="62">
                  <c:v>-52.0748282524589</c:v>
                </c:pt>
                <c:pt idx="63">
                  <c:v>-55.774783494185279</c:v>
                </c:pt>
                <c:pt idx="64">
                  <c:v>-59.50473395047257</c:v>
                </c:pt>
                <c:pt idx="65">
                  <c:v>-63.260692783287567</c:v>
                </c:pt>
                <c:pt idx="66">
                  <c:v>-67.03886894955167</c:v>
                </c:pt>
                <c:pt idx="67">
                  <c:v>-70.835608812081716</c:v>
                </c:pt>
                <c:pt idx="68">
                  <c:v>-74.64730109678051</c:v>
                </c:pt>
                <c:pt idx="69">
                  <c:v>-78.470155066783917</c:v>
                </c:pt>
                <c:pt idx="70">
                  <c:v>-82.299403715907829</c:v>
                </c:pt>
                <c:pt idx="71">
                  <c:v>-86.123942765363751</c:v>
                </c:pt>
                <c:pt idx="72">
                  <c:v>-89.499999999999403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83D-44F7-B9EE-09E626736407}"/>
            </c:ext>
          </c:extLst>
        </c:ser>
        <c:ser>
          <c:idx val="10"/>
          <c:order val="10"/>
          <c:tx>
            <c:strRef>
              <c:f>Challenge11d!$BT$1</c:f>
              <c:strCache>
                <c:ptCount val="1"/>
                <c:pt idx="0">
                  <c:v>Sec Yellow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val>
            <c:numRef>
              <c:f>Challenge11d!$BT$2:$BT$74</c:f>
              <c:numCache>
                <c:formatCode>General</c:formatCode>
                <c:ptCount val="73"/>
                <c:pt idx="0">
                  <c:v>-89.000000000000099</c:v>
                </c:pt>
                <c:pt idx="1">
                  <c:v>-86.01501054673929</c:v>
                </c:pt>
                <c:pt idx="2">
                  <c:v>-82.223457103782309</c:v>
                </c:pt>
                <c:pt idx="3">
                  <c:v>-78.396331673900676</c:v>
                </c:pt>
                <c:pt idx="4">
                  <c:v>-74.56758304021325</c:v>
                </c:pt>
                <c:pt idx="5">
                  <c:v>-70.74670608841933</c:v>
                </c:pt>
                <c:pt idx="6">
                  <c:v>-66.939070336607855</c:v>
                </c:pt>
                <c:pt idx="7">
                  <c:v>-63.148955628660261</c:v>
                </c:pt>
                <c:pt idx="8">
                  <c:v>-59.380341410509764</c:v>
                </c:pt>
                <c:pt idx="9">
                  <c:v>-55.637192248548978</c:v>
                </c:pt>
                <c:pt idx="10">
                  <c:v>-51.923592852230165</c:v>
                </c:pt>
                <c:pt idx="11">
                  <c:v>-48.243829704580982</c:v>
                </c:pt>
                <c:pt idx="12">
                  <c:v>-44.602451893726453</c:v>
                </c:pt>
                <c:pt idx="13">
                  <c:v>-41.004323753919792</c:v>
                </c:pt>
                <c:pt idx="14">
                  <c:v>-37.454674688145047</c:v>
                </c:pt>
                <c:pt idx="15">
                  <c:v>-33.959148533402612</c:v>
                </c:pt>
                <c:pt idx="16">
                  <c:v>-30.523853361657746</c:v>
                </c:pt>
                <c:pt idx="17">
                  <c:v>-27.155411722597201</c:v>
                </c:pt>
                <c:pt idx="18">
                  <c:v>-23.861010640867221</c:v>
                </c:pt>
                <c:pt idx="19">
                  <c:v>-20.648450004024124</c:v>
                </c:pt>
                <c:pt idx="20">
                  <c:v>-17.526187228744092</c:v>
                </c:pt>
                <c:pt idx="21">
                  <c:v>-14.503375226202461</c:v>
                </c:pt>
                <c:pt idx="22">
                  <c:v>-11.589889689004027</c:v>
                </c:pt>
                <c:pt idx="23">
                  <c:v>-8.7963406126676773</c:v>
                </c:pt>
                <c:pt idx="24">
                  <c:v>-6.1340618122598212</c:v>
                </c:pt>
                <c:pt idx="25">
                  <c:v>-3.6150711305569376</c:v>
                </c:pt>
                <c:pt idx="26">
                  <c:v>-1.2519932694602989</c:v>
                </c:pt>
                <c:pt idx="27">
                  <c:v>0.94206298813651668</c:v>
                </c:pt>
                <c:pt idx="28">
                  <c:v>2.9536805840334122</c:v>
                </c:pt>
                <c:pt idx="29">
                  <c:v>4.7693682297359183</c:v>
                </c:pt>
                <c:pt idx="30">
                  <c:v>6.3758539548213369</c:v>
                </c:pt>
                <c:pt idx="31">
                  <c:v>7.7604335933652546</c:v>
                </c:pt>
                <c:pt idx="32">
                  <c:v>8.9113621824743259</c:v>
                </c:pt>
                <c:pt idx="33">
                  <c:v>9.8182679515110269</c:v>
                </c:pt>
                <c:pt idx="34">
                  <c:v>10.47256083437798</c:v>
                </c:pt>
                <c:pt idx="35">
                  <c:v>10.867802043068071</c:v>
                </c:pt>
                <c:pt idx="36">
                  <c:v>11.000000000000002</c:v>
                </c:pt>
                <c:pt idx="37">
                  <c:v>10.867802043068071</c:v>
                </c:pt>
                <c:pt idx="38">
                  <c:v>10.47256083437798</c:v>
                </c:pt>
                <c:pt idx="39">
                  <c:v>9.8182679515110269</c:v>
                </c:pt>
                <c:pt idx="40">
                  <c:v>8.9113621824743259</c:v>
                </c:pt>
                <c:pt idx="41">
                  <c:v>7.7604335933652546</c:v>
                </c:pt>
                <c:pt idx="42">
                  <c:v>6.3758539548213369</c:v>
                </c:pt>
                <c:pt idx="43">
                  <c:v>4.7693682297359183</c:v>
                </c:pt>
                <c:pt idx="44">
                  <c:v>2.9536805840334122</c:v>
                </c:pt>
                <c:pt idx="45">
                  <c:v>0.94206298813651668</c:v>
                </c:pt>
                <c:pt idx="46">
                  <c:v>-1.2519932694602989</c:v>
                </c:pt>
                <c:pt idx="47">
                  <c:v>-3.6150711305569376</c:v>
                </c:pt>
                <c:pt idx="48">
                  <c:v>-6.1340618122598212</c:v>
                </c:pt>
                <c:pt idx="49">
                  <c:v>-8.7963406126676773</c:v>
                </c:pt>
                <c:pt idx="50">
                  <c:v>-11.589889689004027</c:v>
                </c:pt>
                <c:pt idx="51">
                  <c:v>-14.503375226202461</c:v>
                </c:pt>
                <c:pt idx="52">
                  <c:v>-17.526187228744092</c:v>
                </c:pt>
                <c:pt idx="53">
                  <c:v>-20.648450004024124</c:v>
                </c:pt>
                <c:pt idx="54">
                  <c:v>-23.861010640867221</c:v>
                </c:pt>
                <c:pt idx="55">
                  <c:v>-27.155411722597201</c:v>
                </c:pt>
                <c:pt idx="56">
                  <c:v>-30.523853361657746</c:v>
                </c:pt>
                <c:pt idx="57">
                  <c:v>-33.959148533402612</c:v>
                </c:pt>
                <c:pt idx="58">
                  <c:v>-37.454674688145047</c:v>
                </c:pt>
                <c:pt idx="59">
                  <c:v>-41.004323753919792</c:v>
                </c:pt>
                <c:pt idx="60">
                  <c:v>-44.602451893726453</c:v>
                </c:pt>
                <c:pt idx="61">
                  <c:v>-48.243829704580982</c:v>
                </c:pt>
                <c:pt idx="62">
                  <c:v>-51.923592852230165</c:v>
                </c:pt>
                <c:pt idx="63">
                  <c:v>-55.637192248548978</c:v>
                </c:pt>
                <c:pt idx="64">
                  <c:v>-59.380341410509764</c:v>
                </c:pt>
                <c:pt idx="65">
                  <c:v>-63.148955628660261</c:v>
                </c:pt>
                <c:pt idx="66">
                  <c:v>-66.939070336607855</c:v>
                </c:pt>
                <c:pt idx="67">
                  <c:v>-70.74670608841933</c:v>
                </c:pt>
                <c:pt idx="68">
                  <c:v>-74.56758304021325</c:v>
                </c:pt>
                <c:pt idx="69">
                  <c:v>-78.396331673900676</c:v>
                </c:pt>
                <c:pt idx="70">
                  <c:v>-82.223457103782309</c:v>
                </c:pt>
                <c:pt idx="71">
                  <c:v>-86.01501054673929</c:v>
                </c:pt>
                <c:pt idx="72">
                  <c:v>-89.000000000000099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A83D-44F7-B9EE-09E626736407}"/>
            </c:ext>
          </c:extLst>
        </c:ser>
        <c:ser>
          <c:idx val="11"/>
          <c:order val="11"/>
          <c:tx>
            <c:strRef>
              <c:f>Challenge11d!$BU$1</c:f>
              <c:strCache>
                <c:ptCount val="1"/>
                <c:pt idx="0">
                  <c:v>Sec Green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Challenge11d!$BU$2:$BU$74</c:f>
              <c:numCache>
                <c:formatCode>General</c:formatCode>
                <c:ptCount val="73"/>
                <c:pt idx="0">
                  <c:v>-88.499999999999716</c:v>
                </c:pt>
                <c:pt idx="1">
                  <c:v>-85.848407796437257</c:v>
                </c:pt>
                <c:pt idx="2">
                  <c:v>-82.116657770398575</c:v>
                </c:pt>
                <c:pt idx="3">
                  <c:v>-78.301869685473719</c:v>
                </c:pt>
                <c:pt idx="4">
                  <c:v>-74.472545474018418</c:v>
                </c:pt>
                <c:pt idx="5">
                  <c:v>-70.645763147969859</c:v>
                </c:pt>
                <c:pt idx="6">
                  <c:v>-66.829473112982626</c:v>
                </c:pt>
                <c:pt idx="7">
                  <c:v>-63.029062683036678</c:v>
                </c:pt>
                <c:pt idx="8">
                  <c:v>-59.249058966255269</c:v>
                </c:pt>
                <c:pt idx="9">
                  <c:v>-55.493723982730813</c:v>
                </c:pt>
                <c:pt idx="10">
                  <c:v>-51.767314811297489</c:v>
                </c:pt>
                <c:pt idx="11">
                  <c:v>-48.074222622052034</c:v>
                </c:pt>
                <c:pt idx="12">
                  <c:v>-44.419062569002683</c:v>
                </c:pt>
                <c:pt idx="13">
                  <c:v>-40.806742422714429</c:v>
                </c:pt>
                <c:pt idx="14">
                  <c:v>-37.242521906532296</c:v>
                </c:pt>
                <c:pt idx="15">
                  <c:v>-33.73206819871649</c:v>
                </c:pt>
                <c:pt idx="16">
                  <c:v>-30.281510061990815</c:v>
                </c:pt>
                <c:pt idx="17">
                  <c:v>-26.897491451012524</c:v>
                </c:pt>
                <c:pt idx="18">
                  <c:v>-23.587224389316212</c:v>
                </c:pt>
                <c:pt idx="19">
                  <c:v>-20.358540032861093</c:v>
                </c:pt>
                <c:pt idx="20">
                  <c:v>-17.219935970579662</c:v>
                </c:pt>
                <c:pt idx="21">
                  <c:v>-14.18061686429005</c:v>
                </c:pt>
                <c:pt idx="22">
                  <c:v>-11.250524463861213</c:v>
                </c:pt>
                <c:pt idx="23">
                  <c:v>-8.4403518563544413</c:v>
                </c:pt>
                <c:pt idx="24">
                  <c:v>-5.7615355803640185</c:v>
                </c:pt>
                <c:pt idx="25">
                  <c:v>-3.2262180875470383</c:v>
                </c:pt>
                <c:pt idx="26">
                  <c:v>-0.84717217669184464</c:v>
                </c:pt>
                <c:pt idx="27">
                  <c:v>1.3623212275812939</c:v>
                </c:pt>
                <c:pt idx="28">
                  <c:v>3.3886498309569522</c:v>
                </c:pt>
                <c:pt idx="29">
                  <c:v>5.2181069493439489</c:v>
                </c:pt>
                <c:pt idx="30">
                  <c:v>6.837190384556326</c:v>
                </c:pt>
                <c:pt idx="31">
                  <c:v>8.2329588523613051</c:v>
                </c:pt>
                <c:pt idx="32">
                  <c:v>9.3934338406455726</c:v>
                </c:pt>
                <c:pt idx="33">
                  <c:v>10.30802604830899</c:v>
                </c:pt>
                <c:pt idx="34">
                  <c:v>10.967957330083619</c:v>
                </c:pt>
                <c:pt idx="35">
                  <c:v>11.366643263777929</c:v>
                </c:pt>
                <c:pt idx="36">
                  <c:v>11.500000000000002</c:v>
                </c:pt>
                <c:pt idx="37">
                  <c:v>11.366643263777929</c:v>
                </c:pt>
                <c:pt idx="38">
                  <c:v>10.967957330083619</c:v>
                </c:pt>
                <c:pt idx="39">
                  <c:v>10.30802604830899</c:v>
                </c:pt>
                <c:pt idx="40">
                  <c:v>9.3934338406455726</c:v>
                </c:pt>
                <c:pt idx="41">
                  <c:v>8.2329588523613051</c:v>
                </c:pt>
                <c:pt idx="42">
                  <c:v>6.837190384556326</c:v>
                </c:pt>
                <c:pt idx="43">
                  <c:v>5.2181069493439489</c:v>
                </c:pt>
                <c:pt idx="44">
                  <c:v>3.3886498309569522</c:v>
                </c:pt>
                <c:pt idx="45">
                  <c:v>1.3623212275812939</c:v>
                </c:pt>
                <c:pt idx="46">
                  <c:v>-0.84717217669184464</c:v>
                </c:pt>
                <c:pt idx="47">
                  <c:v>-3.2262180875470383</c:v>
                </c:pt>
                <c:pt idx="48">
                  <c:v>-5.7615355803640185</c:v>
                </c:pt>
                <c:pt idx="49">
                  <c:v>-8.4403518563544413</c:v>
                </c:pt>
                <c:pt idx="50">
                  <c:v>-11.250524463861213</c:v>
                </c:pt>
                <c:pt idx="51">
                  <c:v>-14.18061686429005</c:v>
                </c:pt>
                <c:pt idx="52">
                  <c:v>-17.219935970579662</c:v>
                </c:pt>
                <c:pt idx="53">
                  <c:v>-20.358540032861093</c:v>
                </c:pt>
                <c:pt idx="54">
                  <c:v>-23.587224389316212</c:v>
                </c:pt>
                <c:pt idx="55">
                  <c:v>-26.897491451012524</c:v>
                </c:pt>
                <c:pt idx="56">
                  <c:v>-30.281510061990815</c:v>
                </c:pt>
                <c:pt idx="57">
                  <c:v>-33.73206819871649</c:v>
                </c:pt>
                <c:pt idx="58">
                  <c:v>-37.242521906532296</c:v>
                </c:pt>
                <c:pt idx="59">
                  <c:v>-40.806742422714429</c:v>
                </c:pt>
                <c:pt idx="60">
                  <c:v>-44.419062569002683</c:v>
                </c:pt>
                <c:pt idx="61">
                  <c:v>-48.074222622052034</c:v>
                </c:pt>
                <c:pt idx="62">
                  <c:v>-51.767314811297489</c:v>
                </c:pt>
                <c:pt idx="63">
                  <c:v>-55.493723982730813</c:v>
                </c:pt>
                <c:pt idx="64">
                  <c:v>-59.249058966255269</c:v>
                </c:pt>
                <c:pt idx="65">
                  <c:v>-63.029062683036678</c:v>
                </c:pt>
                <c:pt idx="66">
                  <c:v>-66.829473112982626</c:v>
                </c:pt>
                <c:pt idx="67">
                  <c:v>-70.645763147969859</c:v>
                </c:pt>
                <c:pt idx="68">
                  <c:v>-74.472545474018418</c:v>
                </c:pt>
                <c:pt idx="69">
                  <c:v>-78.301869685473719</c:v>
                </c:pt>
                <c:pt idx="70">
                  <c:v>-82.116657770398575</c:v>
                </c:pt>
                <c:pt idx="71">
                  <c:v>-85.848407796437257</c:v>
                </c:pt>
                <c:pt idx="72">
                  <c:v>-88.499999999999716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83D-44F7-B9EE-09E626736407}"/>
            </c:ext>
          </c:extLst>
        </c:ser>
        <c:ser>
          <c:idx val="12"/>
          <c:order val="12"/>
          <c:tx>
            <c:strRef>
              <c:f>Challenge11d!$BV$1</c:f>
              <c:strCache>
                <c:ptCount val="1"/>
                <c:pt idx="0">
                  <c:v>Sec Cyan</c:v>
                </c:pt>
              </c:strCache>
            </c:strRef>
          </c:tx>
          <c:spPr>
            <a:ln>
              <a:solidFill>
                <a:srgbClr val="08E8D8"/>
              </a:solidFill>
            </a:ln>
          </c:spPr>
          <c:marker>
            <c:symbol val="none"/>
          </c:marker>
          <c:val>
            <c:numRef>
              <c:f>Challenge11d!$BV$2:$BV$74</c:f>
              <c:numCache>
                <c:formatCode>General</c:formatCode>
                <c:ptCount val="73"/>
                <c:pt idx="0">
                  <c:v>-87.999999999999872</c:v>
                </c:pt>
                <c:pt idx="1">
                  <c:v>-85.63072658106465</c:v>
                </c:pt>
                <c:pt idx="2">
                  <c:v>-81.980238257834358</c:v>
                </c:pt>
                <c:pt idx="3">
                  <c:v>-78.18726428415637</c:v>
                </c:pt>
                <c:pt idx="4">
                  <c:v>-74.362467845830352</c:v>
                </c:pt>
                <c:pt idx="5">
                  <c:v>-70.532967512182196</c:v>
                </c:pt>
                <c:pt idx="6">
                  <c:v>-66.710215959761143</c:v>
                </c:pt>
                <c:pt idx="7">
                  <c:v>-62.901122715660073</c:v>
                </c:pt>
                <c:pt idx="8">
                  <c:v>-59.11097520397751</c:v>
                </c:pt>
                <c:pt idx="9">
                  <c:v>-55.344452697883405</c:v>
                </c:pt>
                <c:pt idx="10">
                  <c:v>-51.606057052940287</c:v>
                </c:pt>
                <c:pt idx="11">
                  <c:v>-47.900330311636935</c:v>
                </c:pt>
                <c:pt idx="12">
                  <c:v>-44.231984410364085</c:v>
                </c:pt>
                <c:pt idx="13">
                  <c:v>-40.605991656190035</c:v>
                </c:pt>
                <c:pt idx="14">
                  <c:v>-37.027656946073357</c:v>
                </c:pt>
                <c:pt idx="15">
                  <c:v>-33.502681438687695</c:v>
                </c:pt>
                <c:pt idx="16">
                  <c:v>-30.03722228956326</c:v>
                </c:pt>
                <c:pt idx="17">
                  <c:v>-26.63795045540742</c:v>
                </c:pt>
                <c:pt idx="18">
                  <c:v>-23.312107013027532</c:v>
                </c:pt>
                <c:pt idx="19">
                  <c:v>-20.067557293945363</c:v>
                </c:pt>
                <c:pt idx="20">
                  <c:v>-16.91284111137044</c:v>
                </c:pt>
                <c:pt idx="21">
                  <c:v>-13.85721630404144</c:v>
                </c:pt>
                <c:pt idx="22">
                  <c:v>-10.910691673366074</c:v>
                </c:pt>
                <c:pt idx="23">
                  <c:v>-8.0840441364564004</c:v>
                </c:pt>
                <c:pt idx="24">
                  <c:v>-5.3888136084552603</c:v>
                </c:pt>
                <c:pt idx="25">
                  <c:v>-2.8372678873846415</c:v>
                </c:pt>
                <c:pt idx="26">
                  <c:v>-0.44232885991436566</c:v>
                </c:pt>
                <c:pt idx="27">
                  <c:v>1.7825490025028161</c:v>
                </c:pt>
                <c:pt idx="28">
                  <c:v>3.8235562131217851</c:v>
                </c:pt>
                <c:pt idx="29">
                  <c:v>5.6667680932155937</c:v>
                </c:pt>
                <c:pt idx="30">
                  <c:v>7.2984489557038073</c:v>
                </c:pt>
                <c:pt idx="31">
                  <c:v>8.7054165533622818</c:v>
                </c:pt>
                <c:pt idx="32">
                  <c:v>9.8754545900000945</c:v>
                </c:pt>
                <c:pt idx="33">
                  <c:v>10.79775191605833</c:v>
                </c:pt>
                <c:pt idx="34">
                  <c:v>11.463338299956742</c:v>
                </c:pt>
                <c:pt idx="35">
                  <c:v>11.865480416250346</c:v>
                </c:pt>
                <c:pt idx="36">
                  <c:v>12.000000000000002</c:v>
                </c:pt>
                <c:pt idx="37">
                  <c:v>11.865480416250346</c:v>
                </c:pt>
                <c:pt idx="38">
                  <c:v>11.463338299956742</c:v>
                </c:pt>
                <c:pt idx="39">
                  <c:v>10.79775191605833</c:v>
                </c:pt>
                <c:pt idx="40">
                  <c:v>9.8754545900000945</c:v>
                </c:pt>
                <c:pt idx="41">
                  <c:v>8.7054165533622818</c:v>
                </c:pt>
                <c:pt idx="42">
                  <c:v>7.2984489557038073</c:v>
                </c:pt>
                <c:pt idx="43">
                  <c:v>5.6667680932155937</c:v>
                </c:pt>
                <c:pt idx="44">
                  <c:v>3.8235562131217851</c:v>
                </c:pt>
                <c:pt idx="45">
                  <c:v>1.7825490025028161</c:v>
                </c:pt>
                <c:pt idx="46">
                  <c:v>-0.44232885991436566</c:v>
                </c:pt>
                <c:pt idx="47">
                  <c:v>-2.8372678873846415</c:v>
                </c:pt>
                <c:pt idx="48">
                  <c:v>-5.3888136084552603</c:v>
                </c:pt>
                <c:pt idx="49">
                  <c:v>-8.0840441364564004</c:v>
                </c:pt>
                <c:pt idx="50">
                  <c:v>-10.910691673366074</c:v>
                </c:pt>
                <c:pt idx="51">
                  <c:v>-13.85721630404144</c:v>
                </c:pt>
                <c:pt idx="52">
                  <c:v>-16.91284111137044</c:v>
                </c:pt>
                <c:pt idx="53">
                  <c:v>-20.067557293945363</c:v>
                </c:pt>
                <c:pt idx="54">
                  <c:v>-23.312107013027532</c:v>
                </c:pt>
                <c:pt idx="55">
                  <c:v>-26.63795045540742</c:v>
                </c:pt>
                <c:pt idx="56">
                  <c:v>-30.03722228956326</c:v>
                </c:pt>
                <c:pt idx="57">
                  <c:v>-33.502681438687695</c:v>
                </c:pt>
                <c:pt idx="58">
                  <c:v>-37.027656946073357</c:v>
                </c:pt>
                <c:pt idx="59">
                  <c:v>-40.605991656190035</c:v>
                </c:pt>
                <c:pt idx="60">
                  <c:v>-44.231984410364085</c:v>
                </c:pt>
                <c:pt idx="61">
                  <c:v>-47.900330311636935</c:v>
                </c:pt>
                <c:pt idx="62">
                  <c:v>-51.606057052940287</c:v>
                </c:pt>
                <c:pt idx="63">
                  <c:v>-55.344452697883405</c:v>
                </c:pt>
                <c:pt idx="64">
                  <c:v>-59.11097520397751</c:v>
                </c:pt>
                <c:pt idx="65">
                  <c:v>-62.901122715660073</c:v>
                </c:pt>
                <c:pt idx="66">
                  <c:v>-66.710215959761143</c:v>
                </c:pt>
                <c:pt idx="67">
                  <c:v>-70.532967512182196</c:v>
                </c:pt>
                <c:pt idx="68">
                  <c:v>-74.362467845830352</c:v>
                </c:pt>
                <c:pt idx="69">
                  <c:v>-78.18726428415637</c:v>
                </c:pt>
                <c:pt idx="70">
                  <c:v>-81.980238257834358</c:v>
                </c:pt>
                <c:pt idx="71">
                  <c:v>-85.63072658106465</c:v>
                </c:pt>
                <c:pt idx="72">
                  <c:v>-87.999999999999872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A83D-44F7-B9EE-09E626736407}"/>
            </c:ext>
          </c:extLst>
        </c:ser>
        <c:ser>
          <c:idx val="13"/>
          <c:order val="13"/>
          <c:tx>
            <c:strRef>
              <c:f>Challenge11d!$BW$1</c:f>
              <c:strCache>
                <c:ptCount val="1"/>
                <c:pt idx="0">
                  <c:v>Sec Blue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val>
            <c:numRef>
              <c:f>Challenge11d!$BW$2:$BW$74</c:f>
              <c:numCache>
                <c:formatCode>General</c:formatCode>
                <c:ptCount val="73"/>
                <c:pt idx="0">
                  <c:v>-87.499999999999901</c:v>
                </c:pt>
                <c:pt idx="1">
                  <c:v>-85.369164445972643</c:v>
                </c:pt>
                <c:pt idx="2">
                  <c:v>-81.815679642989437</c:v>
                </c:pt>
                <c:pt idx="3">
                  <c:v>-78.053095248657314</c:v>
                </c:pt>
                <c:pt idx="4">
                  <c:v>-74.237665410381524</c:v>
                </c:pt>
                <c:pt idx="5">
                  <c:v>-70.40852415281384</c:v>
                </c:pt>
                <c:pt idx="6">
                  <c:v>-66.581446835141264</c:v>
                </c:pt>
                <c:pt idx="7">
                  <c:v>-62.765249687314615</c:v>
                </c:pt>
                <c:pt idx="8">
                  <c:v>-58.96618168644401</c:v>
                </c:pt>
                <c:pt idx="9">
                  <c:v>-55.189454099608611</c:v>
                </c:pt>
                <c:pt idx="10">
                  <c:v>-51.439883444520063</c:v>
                </c:pt>
                <c:pt idx="11">
                  <c:v>-47.722207445642276</c:v>
                </c:pt>
                <c:pt idx="12">
                  <c:v>-44.041264732768106</c:v>
                </c:pt>
                <c:pt idx="13">
                  <c:v>-40.402112750382919</c:v>
                </c:pt>
                <c:pt idx="14">
                  <c:v>-36.81011609778534</c:v>
                </c:pt>
                <c:pt idx="15">
                  <c:v>-33.271020333347579</c:v>
                </c:pt>
                <c:pt idx="16">
                  <c:v>-29.791018552576681</c:v>
                </c:pt>
                <c:pt idx="17">
                  <c:v>-26.376814197745826</c:v>
                </c:pt>
                <c:pt idx="18">
                  <c:v>-23.035681366224505</c:v>
                </c:pt>
                <c:pt idx="19">
                  <c:v>-19.775522401900634</c:v>
                </c:pt>
                <c:pt idx="20">
                  <c:v>-16.604921334059124</c:v>
                </c:pt>
                <c:pt idx="21">
                  <c:v>-13.533190550004552</c:v>
                </c:pt>
                <c:pt idx="22">
                  <c:v>-10.570406844901164</c:v>
                </c:pt>
                <c:pt idx="23">
                  <c:v>-7.7274316532463638</c:v>
                </c:pt>
                <c:pt idx="24">
                  <c:v>-5.01590886908303</c:v>
                </c:pt>
                <c:pt idx="25">
                  <c:v>-2.4482323251471869</c:v>
                </c:pt>
                <c:pt idx="26">
                  <c:v>-3.7473941910385063E-2</c:v>
                </c:pt>
                <c:pt idx="27">
                  <c:v>2.2027368942677805</c:v>
                </c:pt>
                <c:pt idx="28">
                  <c:v>4.2583915717753085</c:v>
                </c:pt>
                <c:pt idx="29">
                  <c:v>6.1153448234340484</c:v>
                </c:pt>
                <c:pt idx="30">
                  <c:v>7.7596241940389374</c:v>
                </c:pt>
                <c:pt idx="31">
                  <c:v>9.1778025850155647</c:v>
                </c:pt>
                <c:pt idx="32">
                  <c:v>10.357421613748791</c:v>
                </c:pt>
                <c:pt idx="33">
                  <c:v>11.287443879754324</c:v>
                </c:pt>
                <c:pt idx="34">
                  <c:v>11.958702968297661</c:v>
                </c:pt>
                <c:pt idx="35">
                  <c:v>12.364313301600664</c:v>
                </c:pt>
                <c:pt idx="36">
                  <c:v>12.5</c:v>
                </c:pt>
                <c:pt idx="37">
                  <c:v>12.364313301600664</c:v>
                </c:pt>
                <c:pt idx="38">
                  <c:v>11.958702968297661</c:v>
                </c:pt>
                <c:pt idx="39">
                  <c:v>11.287443879754324</c:v>
                </c:pt>
                <c:pt idx="40">
                  <c:v>10.357421613748791</c:v>
                </c:pt>
                <c:pt idx="41">
                  <c:v>9.1778025850155647</c:v>
                </c:pt>
                <c:pt idx="42">
                  <c:v>7.7596241940389374</c:v>
                </c:pt>
                <c:pt idx="43">
                  <c:v>6.1153448234340484</c:v>
                </c:pt>
                <c:pt idx="44">
                  <c:v>4.2583915717753085</c:v>
                </c:pt>
                <c:pt idx="45">
                  <c:v>2.2027368942677805</c:v>
                </c:pt>
                <c:pt idx="46">
                  <c:v>-3.7473941910385063E-2</c:v>
                </c:pt>
                <c:pt idx="47">
                  <c:v>-2.4482323251471869</c:v>
                </c:pt>
                <c:pt idx="48">
                  <c:v>-5.01590886908303</c:v>
                </c:pt>
                <c:pt idx="49">
                  <c:v>-7.7274316532463638</c:v>
                </c:pt>
                <c:pt idx="50">
                  <c:v>-10.570406844901164</c:v>
                </c:pt>
                <c:pt idx="51">
                  <c:v>-13.533190550004552</c:v>
                </c:pt>
                <c:pt idx="52">
                  <c:v>-16.604921334059124</c:v>
                </c:pt>
                <c:pt idx="53">
                  <c:v>-19.775522401900634</c:v>
                </c:pt>
                <c:pt idx="54">
                  <c:v>-23.035681366224505</c:v>
                </c:pt>
                <c:pt idx="55">
                  <c:v>-26.376814197745826</c:v>
                </c:pt>
                <c:pt idx="56">
                  <c:v>-29.791018552576681</c:v>
                </c:pt>
                <c:pt idx="57">
                  <c:v>-33.271020333347579</c:v>
                </c:pt>
                <c:pt idx="58">
                  <c:v>-36.81011609778534</c:v>
                </c:pt>
                <c:pt idx="59">
                  <c:v>-40.402112750382919</c:v>
                </c:pt>
                <c:pt idx="60">
                  <c:v>-44.041264732768106</c:v>
                </c:pt>
                <c:pt idx="61">
                  <c:v>-47.722207445642276</c:v>
                </c:pt>
                <c:pt idx="62">
                  <c:v>-51.439883444520063</c:v>
                </c:pt>
                <c:pt idx="63">
                  <c:v>-55.189454099608611</c:v>
                </c:pt>
                <c:pt idx="64">
                  <c:v>-58.96618168644401</c:v>
                </c:pt>
                <c:pt idx="65">
                  <c:v>-62.765249687314615</c:v>
                </c:pt>
                <c:pt idx="66">
                  <c:v>-66.581446835141264</c:v>
                </c:pt>
                <c:pt idx="67">
                  <c:v>-70.40852415281384</c:v>
                </c:pt>
                <c:pt idx="68">
                  <c:v>-74.237665410381524</c:v>
                </c:pt>
                <c:pt idx="69">
                  <c:v>-78.053095248657314</c:v>
                </c:pt>
                <c:pt idx="70">
                  <c:v>-81.815679642989437</c:v>
                </c:pt>
                <c:pt idx="71">
                  <c:v>-85.369164445972643</c:v>
                </c:pt>
                <c:pt idx="72">
                  <c:v>-87.499999999999901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83D-44F7-B9EE-09E626736407}"/>
            </c:ext>
          </c:extLst>
        </c:ser>
        <c:ser>
          <c:idx val="14"/>
          <c:order val="14"/>
          <c:tx>
            <c:strRef>
              <c:f>Challenge11d!$BX$1</c:f>
              <c:strCache>
                <c:ptCount val="1"/>
                <c:pt idx="0">
                  <c:v>Sec Violet 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Challenge11d!$BX$2:$BX$74</c:f>
              <c:numCache>
                <c:formatCode>General</c:formatCode>
                <c:ptCount val="73"/>
                <c:pt idx="0">
                  <c:v>-86.999999999999844</c:v>
                </c:pt>
                <c:pt idx="1">
                  <c:v>-85.070701797615001</c:v>
                </c:pt>
                <c:pt idx="2">
                  <c:v>-81.62464044611589</c:v>
                </c:pt>
                <c:pt idx="3">
                  <c:v>-77.900013454804835</c:v>
                </c:pt>
                <c:pt idx="4">
                  <c:v>-74.098485043208157</c:v>
                </c:pt>
                <c:pt idx="5">
                  <c:v>-70.272653773134635</c:v>
                </c:pt>
                <c:pt idx="6">
                  <c:v>-66.443322137885076</c:v>
                </c:pt>
                <c:pt idx="7">
                  <c:v>-62.621562296665125</c:v>
                </c:pt>
                <c:pt idx="8">
                  <c:v>-58.814772688872353</c:v>
                </c:pt>
                <c:pt idx="9">
                  <c:v>-55.028805436999832</c:v>
                </c:pt>
                <c:pt idx="10">
                  <c:v>-51.26885869651008</c:v>
                </c:pt>
                <c:pt idx="11">
                  <c:v>-47.539909109793911</c:v>
                </c:pt>
                <c:pt idx="12">
                  <c:v>-43.846950998184035</c:v>
                </c:pt>
                <c:pt idx="13">
                  <c:v>-40.195146983901942</c:v>
                </c:pt>
                <c:pt idx="14">
                  <c:v>-36.589935536287165</c:v>
                </c:pt>
                <c:pt idx="15">
                  <c:v>-33.037116790335403</c:v>
                </c:pt>
                <c:pt idx="16">
                  <c:v>-29.54292715955954</c:v>
                </c:pt>
                <c:pt idx="17">
                  <c:v>-26.114107932484767</c:v>
                </c:pt>
                <c:pt idx="18">
                  <c:v>-22.757970101092091</c:v>
                </c:pt>
                <c:pt idx="19">
                  <c:v>-19.482455783923655</c:v>
                </c:pt>
                <c:pt idx="20">
                  <c:v>-16.296195155027824</c:v>
                </c:pt>
                <c:pt idx="21">
                  <c:v>-13.208556465202218</c:v>
                </c:pt>
                <c:pt idx="22">
                  <c:v>-10.22968539192191</c:v>
                </c:pt>
                <c:pt idx="23">
                  <c:v>-7.3705285218726644</c:v>
                </c:pt>
                <c:pt idx="24">
                  <c:v>-4.642834278407781</c:v>
                </c:pt>
                <c:pt idx="25">
                  <c:v>-2.0591231669022076</c:v>
                </c:pt>
                <c:pt idx="26">
                  <c:v>0.36738195886778918</c:v>
                </c:pt>
                <c:pt idx="27">
                  <c:v>2.6228754679493136</c:v>
                </c:pt>
                <c:pt idx="28">
                  <c:v>4.6931477165456128</c:v>
                </c:pt>
                <c:pt idx="29">
                  <c:v>6.5638302613553634</c:v>
                </c:pt>
                <c:pt idx="30">
                  <c:v>8.2207105820623436</c:v>
                </c:pt>
                <c:pt idx="31">
                  <c:v>9.6501127962388953</c:v>
                </c:pt>
                <c:pt idx="32">
                  <c:v>10.839332063614119</c:v>
                </c:pt>
                <c:pt idx="33">
                  <c:v>11.777100243610397</c:v>
                </c:pt>
                <c:pt idx="34">
                  <c:v>12.454050549080783</c:v>
                </c:pt>
                <c:pt idx="35">
                  <c:v>12.86314171818654</c:v>
                </c:pt>
                <c:pt idx="36">
                  <c:v>13</c:v>
                </c:pt>
                <c:pt idx="37">
                  <c:v>12.86314171818654</c:v>
                </c:pt>
                <c:pt idx="38">
                  <c:v>12.454050549080783</c:v>
                </c:pt>
                <c:pt idx="39">
                  <c:v>11.777100243610397</c:v>
                </c:pt>
                <c:pt idx="40">
                  <c:v>10.839332063614119</c:v>
                </c:pt>
                <c:pt idx="41">
                  <c:v>9.6501127962388953</c:v>
                </c:pt>
                <c:pt idx="42">
                  <c:v>8.2207105820623436</c:v>
                </c:pt>
                <c:pt idx="43">
                  <c:v>6.5638302613553634</c:v>
                </c:pt>
                <c:pt idx="44">
                  <c:v>4.6931477165456128</c:v>
                </c:pt>
                <c:pt idx="45">
                  <c:v>2.6228754679493136</c:v>
                </c:pt>
                <c:pt idx="46">
                  <c:v>0.36738195886778918</c:v>
                </c:pt>
                <c:pt idx="47">
                  <c:v>-2.0591231669022076</c:v>
                </c:pt>
                <c:pt idx="48">
                  <c:v>-4.642834278407781</c:v>
                </c:pt>
                <c:pt idx="49">
                  <c:v>-7.3705285218726644</c:v>
                </c:pt>
                <c:pt idx="50">
                  <c:v>-10.22968539192191</c:v>
                </c:pt>
                <c:pt idx="51">
                  <c:v>-13.208556465202218</c:v>
                </c:pt>
                <c:pt idx="52">
                  <c:v>-16.296195155027824</c:v>
                </c:pt>
                <c:pt idx="53">
                  <c:v>-19.482455783923655</c:v>
                </c:pt>
                <c:pt idx="54">
                  <c:v>-22.757970101092091</c:v>
                </c:pt>
                <c:pt idx="55">
                  <c:v>-26.114107932484767</c:v>
                </c:pt>
                <c:pt idx="56">
                  <c:v>-29.54292715955954</c:v>
                </c:pt>
                <c:pt idx="57">
                  <c:v>-33.037116790335403</c:v>
                </c:pt>
                <c:pt idx="58">
                  <c:v>-36.589935536287165</c:v>
                </c:pt>
                <c:pt idx="59">
                  <c:v>-40.195146983901942</c:v>
                </c:pt>
                <c:pt idx="60">
                  <c:v>-43.846950998184035</c:v>
                </c:pt>
                <c:pt idx="61">
                  <c:v>-47.539909109793911</c:v>
                </c:pt>
                <c:pt idx="62">
                  <c:v>-51.26885869651008</c:v>
                </c:pt>
                <c:pt idx="63">
                  <c:v>-55.028805436999832</c:v>
                </c:pt>
                <c:pt idx="64">
                  <c:v>-58.814772688872353</c:v>
                </c:pt>
                <c:pt idx="65">
                  <c:v>-62.621562296665125</c:v>
                </c:pt>
                <c:pt idx="66">
                  <c:v>-66.443322137885076</c:v>
                </c:pt>
                <c:pt idx="67">
                  <c:v>-70.272653773134635</c:v>
                </c:pt>
                <c:pt idx="68">
                  <c:v>-74.098485043208157</c:v>
                </c:pt>
                <c:pt idx="69">
                  <c:v>-77.900013454804835</c:v>
                </c:pt>
                <c:pt idx="70">
                  <c:v>-81.62464044611589</c:v>
                </c:pt>
                <c:pt idx="71">
                  <c:v>-85.070701797615001</c:v>
                </c:pt>
                <c:pt idx="72">
                  <c:v>-86.999999999999844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A83D-44F7-B9EE-09E626736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518687"/>
        <c:axId val="1745522527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Challenge11d!$BQ$1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Challenge11d!$BQ$2:$BQ$74</c15:sqref>
                        </c15:formulaRef>
                      </c:ext>
                    </c:extLst>
                    <c:numCache>
                      <c:formatCode>General</c:formatCode>
                      <c:ptCount val="7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4-A83D-44F7-B9EE-09E626736407}"/>
                  </c:ext>
                </c:extLst>
              </c15:ser>
            </c15:filteredLineSeries>
          </c:ext>
        </c:extLst>
      </c:lineChart>
      <c:catAx>
        <c:axId val="1745518687"/>
        <c:scaling>
          <c:orientation val="minMax"/>
        </c:scaling>
        <c:delete val="1"/>
        <c:axPos val="b"/>
        <c:majorTickMark val="none"/>
        <c:minorTickMark val="none"/>
        <c:tickLblPos val="nextTo"/>
        <c:crossAx val="1745522527"/>
        <c:crosses val="autoZero"/>
        <c:auto val="1"/>
        <c:lblAlgn val="ctr"/>
        <c:lblOffset val="100"/>
        <c:noMultiLvlLbl val="0"/>
      </c:catAx>
      <c:valAx>
        <c:axId val="1745522527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1868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432399</xdr:colOff>
      <xdr:row>0</xdr:row>
      <xdr:rowOff>98186</xdr:rowOff>
    </xdr:from>
    <xdr:to>
      <xdr:col>13</xdr:col>
      <xdr:colOff>479302</xdr:colOff>
      <xdr:row>15</xdr:row>
      <xdr:rowOff>126761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773B2F-06D8-64C5-DD3B-3EC7EF2CA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224118</xdr:colOff>
      <xdr:row>102</xdr:row>
      <xdr:rowOff>116541</xdr:rowOff>
    </xdr:from>
    <xdr:to>
      <xdr:col>9</xdr:col>
      <xdr:colOff>215154</xdr:colOff>
      <xdr:row>133</xdr:row>
      <xdr:rowOff>170329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C549C5B-BC47-41E3-BD8A-283ABFD9B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259977</xdr:colOff>
      <xdr:row>102</xdr:row>
      <xdr:rowOff>71717</xdr:rowOff>
    </xdr:from>
    <xdr:to>
      <xdr:col>22</xdr:col>
      <xdr:colOff>206190</xdr:colOff>
      <xdr:row>135</xdr:row>
      <xdr:rowOff>35857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D9BA1C1-A9D7-4619-8B1A-0314627B7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0.30095</cdr:x>
      <cdr:y>0.90549</cdr:y>
    </cdr:from>
    <cdr:to>
      <cdr:x>0.62915</cdr:x>
      <cdr:y>0.94512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675454-2F2F-426E-D4E4-F9685527164F}"/>
            </a:ext>
          </a:extLst>
        </cdr:cNvPr>
        <cdr:cNvSpPr txBox="1"/>
      </cdr:nvSpPr>
      <cdr:spPr>
        <a:xfrm xmlns:a="http://schemas.openxmlformats.org/drawingml/2006/main">
          <a:off x="2277035" y="5325034"/>
          <a:ext cx="2483224" cy="233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 kern="1200"/>
            <a:t>Angle</a:t>
          </a:r>
          <a:r>
            <a:rPr lang="en-GB" sz="1100" b="1" kern="1200" baseline="0"/>
            <a:t> of Incidence (deg)</a:t>
          </a:r>
          <a:endParaRPr lang="en-GB" sz="1100" b="1" kern="1200"/>
        </a:p>
      </cdr:txBody>
    </cdr:sp>
  </cdr:relSizeAnchor>
  <cdr:relSizeAnchor xmlns:cdr="http://schemas.openxmlformats.org/drawingml/2006/chartDrawing">
    <cdr:from>
      <cdr:x>0.03811</cdr:x>
      <cdr:y>0.1405</cdr:y>
    </cdr:from>
    <cdr:to>
      <cdr:x>0.06892</cdr:x>
      <cdr:y>0.56275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F0B91EC-9891-033A-B55C-B6684500DF09}"/>
            </a:ext>
          </a:extLst>
        </cdr:cNvPr>
        <cdr:cNvSpPr txBox="1"/>
      </cdr:nvSpPr>
      <cdr:spPr>
        <a:xfrm xmlns:a="http://schemas.openxmlformats.org/drawingml/2006/main" rot="16200000">
          <a:off x="-836704" y="1951318"/>
          <a:ext cx="2483224" cy="233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 kern="1200" baseline="0"/>
            <a:t>Elevation angle (deg)</a:t>
          </a:r>
          <a:endParaRPr lang="en-GB" sz="11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0.30095</cdr:x>
      <cdr:y>0.90549</cdr:y>
    </cdr:from>
    <cdr:to>
      <cdr:x>0.62915</cdr:x>
      <cdr:y>0.94512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675454-2F2F-426E-D4E4-F9685527164F}"/>
            </a:ext>
          </a:extLst>
        </cdr:cNvPr>
        <cdr:cNvSpPr txBox="1"/>
      </cdr:nvSpPr>
      <cdr:spPr>
        <a:xfrm xmlns:a="http://schemas.openxmlformats.org/drawingml/2006/main">
          <a:off x="2277035" y="5325034"/>
          <a:ext cx="2483224" cy="233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 kern="1200"/>
            <a:t>Angle</a:t>
          </a:r>
          <a:r>
            <a:rPr lang="en-GB" sz="1100" b="1" kern="1200" baseline="0"/>
            <a:t> of Incidence (deg)</a:t>
          </a:r>
          <a:endParaRPr lang="en-GB" sz="1100" b="1" kern="1200"/>
        </a:p>
      </cdr:txBody>
    </cdr:sp>
  </cdr:relSizeAnchor>
  <cdr:relSizeAnchor xmlns:cdr="http://schemas.openxmlformats.org/drawingml/2006/chartDrawing">
    <cdr:from>
      <cdr:x>0.03811</cdr:x>
      <cdr:y>0.1405</cdr:y>
    </cdr:from>
    <cdr:to>
      <cdr:x>0.06892</cdr:x>
      <cdr:y>0.56275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F0B91EC-9891-033A-B55C-B6684500DF09}"/>
            </a:ext>
          </a:extLst>
        </cdr:cNvPr>
        <cdr:cNvSpPr txBox="1"/>
      </cdr:nvSpPr>
      <cdr:spPr>
        <a:xfrm xmlns:a="http://schemas.openxmlformats.org/drawingml/2006/main" rot="16200000">
          <a:off x="-836704" y="1951318"/>
          <a:ext cx="2483224" cy="233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 kern="1200" baseline="0"/>
            <a:t>Elevation angle (deg)</a:t>
          </a:r>
          <a:endParaRPr lang="en-GB" sz="1100" b="1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101</xdr:row>
      <xdr:rowOff>25400</xdr:rowOff>
    </xdr:from>
    <xdr:to>
      <xdr:col>8</xdr:col>
      <xdr:colOff>373528</xdr:colOff>
      <xdr:row>122</xdr:row>
      <xdr:rowOff>17929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C96807-1FA2-1CA0-6E91-5B440F90B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124</xdr:row>
      <xdr:rowOff>83820</xdr:rowOff>
    </xdr:from>
    <xdr:to>
      <xdr:col>8</xdr:col>
      <xdr:colOff>459291</xdr:colOff>
      <xdr:row>146</xdr:row>
      <xdr:rowOff>53041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7D4FE9-62FD-0283-C768-B6DDFB9F3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148</xdr:row>
      <xdr:rowOff>122518</xdr:rowOff>
    </xdr:from>
    <xdr:to>
      <xdr:col>8</xdr:col>
      <xdr:colOff>234578</xdr:colOff>
      <xdr:row>168</xdr:row>
      <xdr:rowOff>131483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BA7307-75FB-4E9C-94C0-A54880CC0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0.0683</cdr:x>
      <cdr:y>0.67241</cdr:y>
    </cdr:from>
    <cdr:to>
      <cdr:x>0.35152</cdr:x>
      <cdr:y>0.75906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8869189-603E-5739-3D13-F824197C6678}"/>
            </a:ext>
          </a:extLst>
        </cdr:cNvPr>
        <cdr:cNvSpPr/>
      </cdr:nvSpPr>
      <cdr:spPr>
        <a:xfrm xmlns:a="http://schemas.openxmlformats.org/drawingml/2006/main">
          <a:off x="448824" y="2525705"/>
          <a:ext cx="1861060" cy="32547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Primary rainbow</a:t>
          </a:r>
        </a:p>
      </cdr:txBody>
    </cdr:sp>
  </cdr:relSizeAnchor>
  <cdr:relSizeAnchor xmlns:cdr="http://schemas.openxmlformats.org/drawingml/2006/chartDrawing">
    <cdr:from>
      <cdr:x>0.11639</cdr:x>
      <cdr:y>0.30923</cdr:y>
    </cdr:from>
    <cdr:to>
      <cdr:x>0.39517</cdr:x>
      <cdr:y>0.39505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6BE741C-69D4-E1D5-DE7E-AE5C63DC07C6}"/>
            </a:ext>
          </a:extLst>
        </cdr:cNvPr>
        <cdr:cNvSpPr/>
      </cdr:nvSpPr>
      <cdr:spPr>
        <a:xfrm xmlns:a="http://schemas.openxmlformats.org/drawingml/2006/main" rot="21339908">
          <a:off x="669366" y="1111624"/>
          <a:ext cx="1603190" cy="30850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Secondary rainbow</a:t>
          </a:r>
        </a:p>
      </cdr:txBody>
    </cdr:sp>
  </cdr:relSizeAnchor>
  <cdr:relSizeAnchor xmlns:cdr="http://schemas.openxmlformats.org/drawingml/2006/chartDrawing">
    <cdr:from>
      <cdr:x>0.01949</cdr:x>
      <cdr:y>0.25935</cdr:y>
    </cdr:from>
    <cdr:to>
      <cdr:x>0.07093</cdr:x>
      <cdr:y>0.61097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4AD277F-6A8A-8CC1-2E13-9D71C7F6D350}"/>
            </a:ext>
          </a:extLst>
        </cdr:cNvPr>
        <cdr:cNvSpPr txBox="1"/>
      </cdr:nvSpPr>
      <cdr:spPr>
        <a:xfrm xmlns:a="http://schemas.openxmlformats.org/drawingml/2006/main" rot="16200000">
          <a:off x="-372033" y="1416424"/>
          <a:ext cx="1264024" cy="2958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Epsilon (deg)</a:t>
          </a:r>
        </a:p>
      </cdr:txBody>
    </cdr:sp>
  </cdr:relSizeAnchor>
  <cdr:relSizeAnchor xmlns:cdr="http://schemas.openxmlformats.org/drawingml/2006/chartDrawing">
    <cdr:from>
      <cdr:x>0.36862</cdr:x>
      <cdr:y>0.88763</cdr:y>
    </cdr:from>
    <cdr:to>
      <cdr:x>0.58986</cdr:x>
      <cdr:y>0.98186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89F8865-20AC-9A87-583D-EAD2812D1406}"/>
            </a:ext>
          </a:extLst>
        </cdr:cNvPr>
        <cdr:cNvSpPr txBox="1"/>
      </cdr:nvSpPr>
      <cdr:spPr>
        <a:xfrm xmlns:a="http://schemas.openxmlformats.org/drawingml/2006/main">
          <a:off x="1957960" y="3190908"/>
          <a:ext cx="1175131" cy="338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Frequency</a:t>
          </a:r>
          <a:r>
            <a:rPr lang="en-GB" sz="1100" kern="1200" baseline="0"/>
            <a:t> (THz</a:t>
          </a:r>
          <a:r>
            <a:rPr lang="en-GB" sz="1100" kern="1200"/>
            <a:t>)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0.05188</cdr:x>
      <cdr:y>0.34442</cdr:y>
    </cdr:from>
    <cdr:to>
      <cdr:x>0.12849</cdr:x>
      <cdr:y>0.66983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B711971-21A5-0AE5-D504-CD4163D86630}"/>
            </a:ext>
          </a:extLst>
        </cdr:cNvPr>
        <cdr:cNvSpPr txBox="1"/>
      </cdr:nvSpPr>
      <cdr:spPr>
        <a:xfrm xmlns:a="http://schemas.openxmlformats.org/drawingml/2006/main" rot="16200000">
          <a:off x="-107579" y="1698814"/>
          <a:ext cx="1228165" cy="4303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Refractive</a:t>
          </a:r>
          <a:r>
            <a:rPr lang="en-GB" sz="1100" kern="1200" baseline="0"/>
            <a:t> index</a:t>
          </a:r>
          <a:endParaRPr lang="en-GB" sz="1100" kern="1200"/>
        </a:p>
      </cdr:txBody>
    </cdr:sp>
  </cdr:relSizeAnchor>
  <cdr:relSizeAnchor xmlns:cdr="http://schemas.openxmlformats.org/drawingml/2006/chartDrawing">
    <cdr:from>
      <cdr:x>0.37909</cdr:x>
      <cdr:y>0.88599</cdr:y>
    </cdr:from>
    <cdr:to>
      <cdr:x>0.69992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C3D2503-A4D8-9D32-D71A-12822C70AF78}"/>
            </a:ext>
          </a:extLst>
        </cdr:cNvPr>
        <cdr:cNvSpPr txBox="1"/>
      </cdr:nvSpPr>
      <cdr:spPr>
        <a:xfrm xmlns:a="http://schemas.openxmlformats.org/drawingml/2006/main">
          <a:off x="2129118" y="3343835"/>
          <a:ext cx="1801906" cy="4303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Light frequency</a:t>
          </a:r>
          <a:r>
            <a:rPr lang="en-GB" sz="1100" kern="1200" baseline="0"/>
            <a:t> (THx)</a:t>
          </a:r>
          <a:endParaRPr lang="en-GB" sz="1100" kern="12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0.01949</cdr:x>
      <cdr:y>0.13715</cdr:y>
    </cdr:from>
    <cdr:to>
      <cdr:x>0.07093</cdr:x>
      <cdr:y>0.72818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4AD277F-6A8A-8CC1-2E13-9D71C7F6D350}"/>
            </a:ext>
          </a:extLst>
        </cdr:cNvPr>
        <cdr:cNvSpPr txBox="1"/>
      </cdr:nvSpPr>
      <cdr:spPr>
        <a:xfrm xmlns:a="http://schemas.openxmlformats.org/drawingml/2006/main" rot="16200000">
          <a:off x="-764631" y="1386015"/>
          <a:ext cx="2124641" cy="3387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Rainbow elevation angle (deg)</a:t>
          </a:r>
        </a:p>
      </cdr:txBody>
    </cdr:sp>
  </cdr:relSizeAnchor>
  <cdr:relSizeAnchor xmlns:cdr="http://schemas.openxmlformats.org/drawingml/2006/chartDrawing">
    <cdr:from>
      <cdr:x>0.32811</cdr:x>
      <cdr:y>0.83277</cdr:y>
    </cdr:from>
    <cdr:to>
      <cdr:x>0.54935</cdr:x>
      <cdr:y>0.927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89F8865-20AC-9A87-583D-EAD2812D1406}"/>
            </a:ext>
          </a:extLst>
        </cdr:cNvPr>
        <cdr:cNvSpPr txBox="1"/>
      </cdr:nvSpPr>
      <cdr:spPr>
        <a:xfrm xmlns:a="http://schemas.openxmlformats.org/drawingml/2006/main">
          <a:off x="2160494" y="2993685"/>
          <a:ext cx="1456766" cy="338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Light</a:t>
          </a:r>
          <a:r>
            <a:rPr lang="en-GB" sz="1100" kern="1200" baseline="0"/>
            <a:t> f</a:t>
          </a:r>
          <a:r>
            <a:rPr lang="en-GB" sz="1100" kern="1200"/>
            <a:t>requency</a:t>
          </a:r>
          <a:r>
            <a:rPr lang="en-GB" sz="1100" kern="1200" baseline="0"/>
            <a:t> (THz</a:t>
          </a:r>
          <a:r>
            <a:rPr lang="en-GB" sz="1100" kern="1200"/>
            <a:t>)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38100</xdr:rowOff>
    </xdr:from>
    <xdr:to>
      <xdr:col>10</xdr:col>
      <xdr:colOff>38100</xdr:colOff>
      <xdr:row>105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7439B-ABF3-FD84-39B1-847C334D1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0.39033</cdr:x>
      <cdr:y>0.94692</cdr:y>
    </cdr:from>
    <cdr:to>
      <cdr:x>0.60377</cdr:x>
      <cdr:y>0.97774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F905E4-9241-3CDE-3D59-0C6A88F22012}"/>
            </a:ext>
          </a:extLst>
        </cdr:cNvPr>
        <cdr:cNvSpPr txBox="1"/>
      </cdr:nvSpPr>
      <cdr:spPr>
        <a:xfrm xmlns:a="http://schemas.openxmlformats.org/drawingml/2006/main">
          <a:off x="2522220" y="4213860"/>
          <a:ext cx="1379220" cy="137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0.12037</cdr:x>
      <cdr:y>0.41096</cdr:y>
    </cdr:from>
    <cdr:to>
      <cdr:x>0.24655</cdr:x>
      <cdr:y>0.47432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81A4C49-6A49-18CB-029E-D2ED53DD4D3D}"/>
            </a:ext>
          </a:extLst>
        </cdr:cNvPr>
        <cdr:cNvSpPr txBox="1"/>
      </cdr:nvSpPr>
      <cdr:spPr>
        <a:xfrm xmlns:a="http://schemas.openxmlformats.org/drawingml/2006/main">
          <a:off x="783332" y="1828800"/>
          <a:ext cx="821109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Primary</a:t>
          </a:r>
        </a:p>
      </cdr:txBody>
    </cdr:sp>
  </cdr:relSizeAnchor>
  <cdr:relSizeAnchor xmlns:cdr="http://schemas.openxmlformats.org/drawingml/2006/chartDrawing">
    <cdr:from>
      <cdr:x>0.11516</cdr:x>
      <cdr:y>0.78196</cdr:y>
    </cdr:from>
    <cdr:to>
      <cdr:x>0.24134</cdr:x>
      <cdr:y>0.84532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7E295F4-1478-F0AD-796A-CE55AD8B5213}"/>
            </a:ext>
          </a:extLst>
        </cdr:cNvPr>
        <cdr:cNvSpPr txBox="1"/>
      </cdr:nvSpPr>
      <cdr:spPr>
        <a:xfrm xmlns:a="http://schemas.openxmlformats.org/drawingml/2006/main">
          <a:off x="749378" y="3479800"/>
          <a:ext cx="821109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Secondary</a:t>
          </a:r>
        </a:p>
      </cdr:txBody>
    </cdr:sp>
  </cdr:relSizeAnchor>
  <cdr:relSizeAnchor xmlns:cdr="http://schemas.openxmlformats.org/drawingml/2006/chartDrawing">
    <cdr:from>
      <cdr:x>0.1081</cdr:x>
      <cdr:y>0.20148</cdr:y>
    </cdr:from>
    <cdr:to>
      <cdr:x>0.29481</cdr:x>
      <cdr:y>0.26484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84F13CC-3ADD-5164-20DC-3832427F9068}"/>
            </a:ext>
          </a:extLst>
        </cdr:cNvPr>
        <cdr:cNvSpPr txBox="1"/>
      </cdr:nvSpPr>
      <cdr:spPr>
        <a:xfrm xmlns:a="http://schemas.openxmlformats.org/drawingml/2006/main">
          <a:off x="698500" y="896620"/>
          <a:ext cx="1206500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Critical angle</a:t>
          </a:r>
        </a:p>
      </cdr:txBody>
    </cdr:sp>
  </cdr:relSizeAnchor>
  <cdr:relSizeAnchor xmlns:cdr="http://schemas.openxmlformats.org/drawingml/2006/chartDrawing">
    <cdr:from>
      <cdr:x>0.17564</cdr:x>
      <cdr:y>0.28767</cdr:y>
    </cdr:from>
    <cdr:to>
      <cdr:x>0.73185</cdr:x>
      <cdr:y>0.40582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77AFEF0-5B7C-068E-B9B9-BCC36E53B790}"/>
            </a:ext>
          </a:extLst>
        </cdr:cNvPr>
        <cdr:cNvSpPr txBox="1"/>
      </cdr:nvSpPr>
      <cdr:spPr>
        <a:xfrm xmlns:a="http://schemas.openxmlformats.org/drawingml/2006/main">
          <a:off x="1143000" y="1280160"/>
          <a:ext cx="3619500" cy="525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Loss at each internal reflection,</a:t>
          </a:r>
          <a:r>
            <a:rPr lang="en-GB" sz="1100" kern="1200" baseline="0"/>
            <a:t> since </a:t>
          </a:r>
          <a:r>
            <a:rPr lang="en-GB" sz="1100" b="0" i="0" u="none" strike="noStrike" kern="0" baseline="0">
              <a:latin typeface="+mn-lt"/>
              <a:ea typeface="+mn-ea"/>
              <a:cs typeface="+mn-cs"/>
            </a:rPr>
            <a:t>ø </a:t>
          </a:r>
          <a:r>
            <a:rPr lang="en-GB" sz="1100" kern="1200" baseline="0"/>
            <a:t>is less than the critical angle for total internal reflection</a:t>
          </a:r>
          <a:endParaRPr lang="en-GB" sz="1100" kern="1200"/>
        </a:p>
      </cdr:txBody>
    </cdr:sp>
  </cdr:relSizeAnchor>
  <cdr:relSizeAnchor xmlns:cdr="http://schemas.openxmlformats.org/drawingml/2006/chartDrawing">
    <cdr:from>
      <cdr:x>0.00351</cdr:x>
      <cdr:y>0.31164</cdr:y>
    </cdr:from>
    <cdr:to>
      <cdr:x>0.03864</cdr:x>
      <cdr:y>0.53082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BD7F1E70-5749-CB16-9E33-B9BD14C3CF98}"/>
            </a:ext>
          </a:extLst>
        </cdr:cNvPr>
        <cdr:cNvSpPr txBox="1"/>
      </cdr:nvSpPr>
      <cdr:spPr>
        <a:xfrm xmlns:a="http://schemas.openxmlformats.org/drawingml/2006/main" rot="16200000">
          <a:off x="-350520" y="1760220"/>
          <a:ext cx="97536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ø/deg</a:t>
          </a:r>
        </a:p>
      </cdr:txBody>
    </cdr:sp>
  </cdr:relSizeAnchor>
  <cdr:relSizeAnchor xmlns:cdr="http://schemas.openxmlformats.org/drawingml/2006/chartDrawing">
    <cdr:from>
      <cdr:x>0.40515</cdr:x>
      <cdr:y>0.92123</cdr:y>
    </cdr:from>
    <cdr:to>
      <cdr:x>0.57026</cdr:x>
      <cdr:y>0.98116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F2046017-C3B2-6A3D-CCEA-71558ABABCA8}"/>
            </a:ext>
          </a:extLst>
        </cdr:cNvPr>
        <cdr:cNvSpPr txBox="1"/>
      </cdr:nvSpPr>
      <cdr:spPr>
        <a:xfrm xmlns:a="http://schemas.openxmlformats.org/drawingml/2006/main">
          <a:off x="2636520" y="4099560"/>
          <a:ext cx="107442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Frequency</a:t>
          </a:r>
          <a:r>
            <a:rPr lang="en-GB" sz="1100" kern="1200" baseline="0"/>
            <a:t> / THz</a:t>
          </a:r>
          <a:endParaRPr lang="en-GB" sz="1100" kern="12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4</xdr:row>
      <xdr:rowOff>72390</xdr:rowOff>
    </xdr:from>
    <xdr:to>
      <xdr:col>11</xdr:col>
      <xdr:colOff>289560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525DE-AD63-A265-A3E8-89ED69249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594360</xdr:colOff>
      <xdr:row>4</xdr:row>
      <xdr:rowOff>129540</xdr:rowOff>
    </xdr:from>
    <xdr:to>
      <xdr:col>30</xdr:col>
      <xdr:colOff>289560</xdr:colOff>
      <xdr:row>21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DA30A9-6A11-493E-B5F4-780574D8B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312420</xdr:colOff>
      <xdr:row>4</xdr:row>
      <xdr:rowOff>148590</xdr:rowOff>
    </xdr:from>
    <xdr:to>
      <xdr:col>50</xdr:col>
      <xdr:colOff>7620</xdr:colOff>
      <xdr:row>19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A62829-7E48-C5EB-DCC9-49708F317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61</xdr:col>
      <xdr:colOff>518160</xdr:colOff>
      <xdr:row>3</xdr:row>
      <xdr:rowOff>80010</xdr:rowOff>
    </xdr:from>
    <xdr:to>
      <xdr:col>69</xdr:col>
      <xdr:colOff>213360</xdr:colOff>
      <xdr:row>18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7F141-218A-82D9-8963-F4D792217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5564-E328-473C-8DEE-1068399DEB03}">
  <sheetPr codeName="Sheet3"/>
  <dimension ref="A1:E20"/>
  <sheetViews>
    <sheetView zoomScale="99" zoomScaleNormal="99" workbookViewId="0">
      <selection activeCell="D18" sqref="D18"/>
    </sheetView>
  </sheetViews>
  <sheetFormatPr defaultRowHeight="14.45"/>
  <cols>
    <col min="4" max="4" width="9.28515625" bestFit="1" customWidth="1"/>
  </cols>
  <sheetData>
    <row r="1" spans="1:5" s="28" customFormat="1">
      <c r="A1" s="28" t="s">
        <v>0</v>
      </c>
      <c r="B1" s="28" t="s">
        <v>1</v>
      </c>
      <c r="C1" s="28" t="s">
        <v>2</v>
      </c>
      <c r="D1" s="28" t="s">
        <v>3</v>
      </c>
    </row>
    <row r="2" spans="1:5">
      <c r="A2">
        <v>20</v>
      </c>
      <c r="B2">
        <v>65.5</v>
      </c>
      <c r="C2" s="1">
        <f>1/A2</f>
        <v>0.05</v>
      </c>
      <c r="D2" s="1">
        <f>1/B2</f>
        <v>1.5267175572519083E-2</v>
      </c>
    </row>
    <row r="3" spans="1:5">
      <c r="A3">
        <v>25</v>
      </c>
      <c r="B3">
        <v>40</v>
      </c>
      <c r="C3" s="1">
        <f t="shared" ref="C3:C9" si="0">1/A3</f>
        <v>0.04</v>
      </c>
      <c r="D3" s="1">
        <f t="shared" ref="D3:D9" si="1">1/B3</f>
        <v>2.5000000000000001E-2</v>
      </c>
    </row>
    <row r="4" spans="1:5">
      <c r="A4">
        <v>30</v>
      </c>
      <c r="B4">
        <v>31</v>
      </c>
      <c r="C4" s="1">
        <f t="shared" si="0"/>
        <v>3.3333333333333333E-2</v>
      </c>
      <c r="D4" s="1">
        <f t="shared" si="1"/>
        <v>3.2258064516129031E-2</v>
      </c>
    </row>
    <row r="5" spans="1:5">
      <c r="A5">
        <v>35</v>
      </c>
      <c r="B5">
        <v>27</v>
      </c>
      <c r="C5" s="1">
        <f t="shared" si="0"/>
        <v>2.8571428571428571E-2</v>
      </c>
      <c r="D5" s="1">
        <f t="shared" si="1"/>
        <v>3.7037037037037035E-2</v>
      </c>
    </row>
    <row r="6" spans="1:5">
      <c r="A6">
        <v>40</v>
      </c>
      <c r="B6">
        <v>25</v>
      </c>
      <c r="C6" s="1">
        <f t="shared" si="0"/>
        <v>2.5000000000000001E-2</v>
      </c>
      <c r="D6" s="1">
        <f t="shared" si="1"/>
        <v>0.04</v>
      </c>
    </row>
    <row r="7" spans="1:5">
      <c r="A7">
        <v>45</v>
      </c>
      <c r="B7">
        <v>23.1</v>
      </c>
      <c r="C7" s="1">
        <f t="shared" si="0"/>
        <v>2.2222222222222223E-2</v>
      </c>
      <c r="D7" s="1">
        <f t="shared" si="1"/>
        <v>4.3290043290043288E-2</v>
      </c>
    </row>
    <row r="8" spans="1:5">
      <c r="A8">
        <v>50</v>
      </c>
      <c r="B8">
        <v>21.5</v>
      </c>
      <c r="C8" s="1">
        <f t="shared" si="0"/>
        <v>0.02</v>
      </c>
      <c r="D8" s="1">
        <f t="shared" si="1"/>
        <v>4.6511627906976744E-2</v>
      </c>
    </row>
    <row r="9" spans="1:5">
      <c r="A9">
        <v>55</v>
      </c>
      <c r="B9">
        <v>20.5</v>
      </c>
      <c r="C9" s="1">
        <f t="shared" si="0"/>
        <v>1.8181818181818181E-2</v>
      </c>
      <c r="D9" s="1">
        <f t="shared" si="1"/>
        <v>4.878048780487805E-2</v>
      </c>
    </row>
    <row r="11" spans="1:5">
      <c r="A11" t="s">
        <v>4</v>
      </c>
      <c r="E11" t="s">
        <v>5</v>
      </c>
    </row>
    <row r="12" spans="1:5">
      <c r="A12" t="s">
        <v>6</v>
      </c>
      <c r="E12" t="s">
        <v>7</v>
      </c>
    </row>
    <row r="13" spans="1:5">
      <c r="A13" t="s">
        <v>8</v>
      </c>
    </row>
    <row r="15" spans="1:5">
      <c r="A15" t="s">
        <v>9</v>
      </c>
      <c r="E15" t="s">
        <v>10</v>
      </c>
    </row>
    <row r="16" spans="1:5">
      <c r="A16" t="s">
        <v>11</v>
      </c>
      <c r="E16" t="s">
        <v>12</v>
      </c>
    </row>
    <row r="17" spans="1:1">
      <c r="A17" t="s">
        <v>13</v>
      </c>
    </row>
    <row r="19" spans="1:1">
      <c r="A19" t="s">
        <v>14</v>
      </c>
    </row>
    <row r="20" spans="1:1">
      <c r="A20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68EA-1E7F-4503-92E8-F218937B0305}">
  <dimension ref="A1:S98"/>
  <sheetViews>
    <sheetView topLeftCell="A100" zoomScale="85" zoomScaleNormal="85" workbookViewId="0">
      <selection activeCell="J92" sqref="J92"/>
    </sheetView>
  </sheetViews>
  <sheetFormatPr defaultRowHeight="14.45"/>
  <cols>
    <col min="1" max="1" width="10" bestFit="1" customWidth="1"/>
    <col min="2" max="2" width="9.28515625" customWidth="1"/>
    <col min="3" max="3" width="11.140625" style="8" bestFit="1" customWidth="1"/>
    <col min="4" max="4" width="13.5703125" bestFit="1" customWidth="1"/>
    <col min="5" max="5" width="13.28515625" bestFit="1" customWidth="1"/>
    <col min="6" max="6" width="12.5703125" bestFit="1" customWidth="1"/>
    <col min="7" max="7" width="11.5703125" bestFit="1" customWidth="1"/>
    <col min="8" max="8" width="11.140625" bestFit="1" customWidth="1"/>
    <col min="9" max="9" width="12.140625" bestFit="1" customWidth="1"/>
    <col min="10" max="12" width="8.85546875" customWidth="1"/>
    <col min="14" max="15" width="11.140625" bestFit="1" customWidth="1"/>
  </cols>
  <sheetData>
    <row r="1" spans="1:19" s="28" customFormat="1" ht="18">
      <c r="A1" s="17" t="s">
        <v>16</v>
      </c>
      <c r="C1" s="43"/>
      <c r="K1" s="17" t="s">
        <v>17</v>
      </c>
    </row>
    <row r="2" spans="1:19" s="28" customFormat="1">
      <c r="C2" s="29" t="s">
        <v>18</v>
      </c>
      <c r="D2" s="30" t="s">
        <v>19</v>
      </c>
      <c r="E2" s="31" t="s">
        <v>20</v>
      </c>
      <c r="F2" s="32" t="s">
        <v>21</v>
      </c>
      <c r="G2" s="33" t="s">
        <v>22</v>
      </c>
      <c r="H2" s="34" t="s">
        <v>23</v>
      </c>
      <c r="I2" s="35" t="s">
        <v>24</v>
      </c>
      <c r="M2" s="29" t="s">
        <v>25</v>
      </c>
      <c r="N2" s="30" t="s">
        <v>26</v>
      </c>
      <c r="O2" s="31" t="s">
        <v>27</v>
      </c>
      <c r="P2" s="32" t="s">
        <v>28</v>
      </c>
      <c r="Q2" s="33" t="s">
        <v>29</v>
      </c>
      <c r="R2" s="34" t="s">
        <v>30</v>
      </c>
      <c r="S2" s="35" t="s">
        <v>31</v>
      </c>
    </row>
    <row r="3" spans="1:19">
      <c r="B3" t="s">
        <v>32</v>
      </c>
      <c r="C3" s="9">
        <v>442.5</v>
      </c>
      <c r="D3" s="10">
        <v>495</v>
      </c>
      <c r="E3" s="11">
        <v>520</v>
      </c>
      <c r="F3" s="12">
        <v>565</v>
      </c>
      <c r="G3" s="13">
        <v>610</v>
      </c>
      <c r="H3" s="14">
        <v>650</v>
      </c>
      <c r="I3" s="15">
        <v>755</v>
      </c>
      <c r="L3" t="s">
        <v>32</v>
      </c>
      <c r="M3" s="9">
        <v>442.5</v>
      </c>
      <c r="N3" s="10">
        <v>495</v>
      </c>
      <c r="O3" s="11">
        <v>520</v>
      </c>
      <c r="P3" s="12">
        <v>565</v>
      </c>
      <c r="Q3" s="13">
        <v>610</v>
      </c>
      <c r="R3" s="14">
        <v>650</v>
      </c>
      <c r="S3" s="15">
        <v>755</v>
      </c>
    </row>
    <row r="4" spans="1:19">
      <c r="B4" t="s">
        <v>33</v>
      </c>
      <c r="C4" s="9">
        <v>1.331</v>
      </c>
      <c r="D4" s="10">
        <v>1.3321000000000001</v>
      </c>
      <c r="E4" s="11">
        <v>1.3327</v>
      </c>
      <c r="F4" s="12">
        <v>1.3338000000000001</v>
      </c>
      <c r="G4" s="13">
        <v>1.335</v>
      </c>
      <c r="H4" s="14">
        <v>1.3362000000000001</v>
      </c>
      <c r="I4" s="15">
        <v>1.339</v>
      </c>
      <c r="L4" t="s">
        <v>33</v>
      </c>
      <c r="M4" s="9">
        <v>1.331</v>
      </c>
      <c r="N4" s="10">
        <v>1.3321000000000001</v>
      </c>
      <c r="O4" s="11">
        <v>1.3327</v>
      </c>
      <c r="P4" s="12">
        <v>1.3338000000000001</v>
      </c>
      <c r="Q4" s="13">
        <v>1.335</v>
      </c>
      <c r="R4" s="14">
        <v>1.3362000000000001</v>
      </c>
      <c r="S4" s="15">
        <v>1.339</v>
      </c>
    </row>
    <row r="6" spans="1:19" s="28" customFormat="1">
      <c r="A6" s="28" t="s">
        <v>34</v>
      </c>
      <c r="B6" s="28" t="s">
        <v>35</v>
      </c>
      <c r="C6" s="43" t="s">
        <v>36</v>
      </c>
      <c r="D6" s="28" t="s">
        <v>36</v>
      </c>
      <c r="E6" s="28" t="s">
        <v>36</v>
      </c>
      <c r="F6" s="28" t="s">
        <v>36</v>
      </c>
      <c r="G6" s="28" t="s">
        <v>36</v>
      </c>
      <c r="H6" s="28" t="s">
        <v>36</v>
      </c>
      <c r="I6" s="28" t="s">
        <v>36</v>
      </c>
      <c r="K6" s="28" t="s">
        <v>34</v>
      </c>
      <c r="L6" s="28" t="s">
        <v>35</v>
      </c>
      <c r="M6" s="43" t="s">
        <v>36</v>
      </c>
      <c r="N6" s="28" t="s">
        <v>36</v>
      </c>
      <c r="O6" s="28" t="s">
        <v>36</v>
      </c>
      <c r="P6" s="28" t="s">
        <v>36</v>
      </c>
      <c r="Q6" s="28" t="s">
        <v>36</v>
      </c>
      <c r="R6" s="28" t="s">
        <v>36</v>
      </c>
      <c r="S6" s="28" t="s">
        <v>36</v>
      </c>
    </row>
    <row r="7" spans="1:19" s="28" customFormat="1">
      <c r="A7" s="28" t="s">
        <v>37</v>
      </c>
      <c r="B7" s="28" t="s">
        <v>38</v>
      </c>
      <c r="C7" s="29" t="s">
        <v>18</v>
      </c>
      <c r="D7" s="30" t="s">
        <v>19</v>
      </c>
      <c r="E7" s="31" t="s">
        <v>20</v>
      </c>
      <c r="F7" s="32" t="s">
        <v>21</v>
      </c>
      <c r="G7" s="33" t="s">
        <v>22</v>
      </c>
      <c r="H7" s="34" t="s">
        <v>23</v>
      </c>
      <c r="I7" s="35" t="s">
        <v>24</v>
      </c>
      <c r="K7" s="28" t="s">
        <v>37</v>
      </c>
      <c r="L7" s="28" t="s">
        <v>38</v>
      </c>
      <c r="M7" s="29" t="s">
        <v>25</v>
      </c>
      <c r="N7" s="30" t="s">
        <v>26</v>
      </c>
      <c r="O7" s="31" t="s">
        <v>27</v>
      </c>
      <c r="P7" s="32" t="s">
        <v>28</v>
      </c>
      <c r="Q7" s="33" t="s">
        <v>29</v>
      </c>
      <c r="R7" s="34" t="s">
        <v>30</v>
      </c>
      <c r="S7" s="35" t="s">
        <v>31</v>
      </c>
    </row>
    <row r="8" spans="1:19">
      <c r="A8">
        <v>0</v>
      </c>
      <c r="B8" s="18">
        <f t="shared" ref="B8:B39" si="0">A8 *PI() / 180</f>
        <v>0</v>
      </c>
      <c r="C8" s="19">
        <f>4*ASIN(SIN(A8*PI()/180)/$C$4)*180/PI() - 2*A8</f>
        <v>0</v>
      </c>
      <c r="D8" s="20">
        <f t="shared" ref="D8:D39" si="1">4*ASIN(SIN(A8*PI()/180)/$D$4)*180/PI() - 2*A8</f>
        <v>0</v>
      </c>
      <c r="E8" s="21">
        <f t="shared" ref="E8:E39" si="2">4*ASIN(SIN(A8*PI()/180)/$E$4)*180/PI() - 2*A8</f>
        <v>0</v>
      </c>
      <c r="F8" s="22">
        <f t="shared" ref="F8:F39" si="3">4*ASIN(SIN(A8*PI()/180)/$F$4)*180/PI() - 2*A8</f>
        <v>0</v>
      </c>
      <c r="G8" s="23">
        <f t="shared" ref="G8:G39" si="4">4*ASIN(SIN(A8*PI()/180)/$G$4)*180/PI() - 2*A8</f>
        <v>0</v>
      </c>
      <c r="H8" s="24">
        <f t="shared" ref="H8:H39" si="5">4*ASIN(SIN(A8*PI()/180)/$H$4)*180/PI() - 2*A8</f>
        <v>0</v>
      </c>
      <c r="I8" s="25">
        <f t="shared" ref="I8:I39" si="6">4*ASIN(SIN(A8*PI()/180)/$I$4)*180/PI() - 2*A8</f>
        <v>0</v>
      </c>
      <c r="K8">
        <v>0</v>
      </c>
      <c r="L8" s="18">
        <f t="shared" ref="L8:L10" si="7">K8 *PI() / 180</f>
        <v>0</v>
      </c>
      <c r="M8" s="26">
        <f t="shared" ref="M8:M39" si="8">180 - 6*ASIN(SIN(A8*PI()/180)/$M$4)*180/PI() + 2*A8</f>
        <v>180</v>
      </c>
      <c r="N8" s="20">
        <f t="shared" ref="N8:N39" si="9">180 - 6*ASIN(SIN(A8*PI()/180)/$N$4)*180/PI() + 2*A8</f>
        <v>180</v>
      </c>
      <c r="O8" s="21">
        <f t="shared" ref="O8:O39" si="10">180 - 6*ASIN(SIN(A8*PI()/180)/$O$4)*180/PI() + 2*A8</f>
        <v>180</v>
      </c>
      <c r="P8" s="22">
        <f t="shared" ref="P8:P39" si="11">180 - 6*ASIN(SIN(A8*PI()/180)/$P$4)*180/PI() + 2*A8</f>
        <v>180</v>
      </c>
      <c r="Q8" s="23">
        <f t="shared" ref="Q8:Q39" si="12">180 - 6*ASIN(SIN(A8*PI()/180)/$Q$4)*180/PI() + 2*A8</f>
        <v>180</v>
      </c>
      <c r="R8" s="24">
        <f t="shared" ref="R8:R39" si="13">180 - 6*ASIN(SIN(A8*PI()/180)/$R$4)*180/PI() + 2*A8</f>
        <v>180</v>
      </c>
      <c r="S8" s="25">
        <f t="shared" ref="S8:S39" si="14">180 - 6*ASIN(SIN(A8*PI()/180)/$S$4)*180/PI() + 2*A8</f>
        <v>180</v>
      </c>
    </row>
    <row r="9" spans="1:19">
      <c r="A9">
        <v>1</v>
      </c>
      <c r="B9" s="18">
        <f t="shared" si="0"/>
        <v>1.7453292519943295E-2</v>
      </c>
      <c r="C9" s="19">
        <f t="shared" ref="C9:C39" si="15">4*ASIN(SIN(A9*PI()/180)/$C$4)*180/PI() - 2*A9</f>
        <v>1.0051927487739367</v>
      </c>
      <c r="D9" s="20">
        <f t="shared" si="1"/>
        <v>1.0027110272331421</v>
      </c>
      <c r="E9" s="21">
        <f t="shared" si="2"/>
        <v>1.0013590878310654</v>
      </c>
      <c r="F9" s="22">
        <f t="shared" si="3"/>
        <v>0.99888369158394141</v>
      </c>
      <c r="G9" s="23">
        <f t="shared" si="4"/>
        <v>0.99618791214245173</v>
      </c>
      <c r="H9" s="24">
        <f t="shared" si="5"/>
        <v>0.99349697510712565</v>
      </c>
      <c r="I9" s="25">
        <f t="shared" si="6"/>
        <v>0.98723688046357161</v>
      </c>
      <c r="K9">
        <v>1</v>
      </c>
      <c r="L9" s="18">
        <f t="shared" si="7"/>
        <v>1.7453292519943295E-2</v>
      </c>
      <c r="M9" s="26">
        <f t="shared" si="8"/>
        <v>177.4922108768391</v>
      </c>
      <c r="N9" s="20">
        <f t="shared" si="9"/>
        <v>177.49593345915028</v>
      </c>
      <c r="O9" s="21">
        <f t="shared" si="10"/>
        <v>177.49796136825341</v>
      </c>
      <c r="P9" s="22">
        <f t="shared" si="11"/>
        <v>177.50167446262409</v>
      </c>
      <c r="Q9" s="23">
        <f t="shared" si="12"/>
        <v>177.50571813178632</v>
      </c>
      <c r="R9" s="24">
        <f t="shared" si="13"/>
        <v>177.50975453733932</v>
      </c>
      <c r="S9" s="25">
        <f t="shared" si="14"/>
        <v>177.51914467930465</v>
      </c>
    </row>
    <row r="10" spans="1:19">
      <c r="A10">
        <v>2</v>
      </c>
      <c r="B10" s="18">
        <f t="shared" si="0"/>
        <v>3.4906585039886591E-2</v>
      </c>
      <c r="C10" s="19">
        <f t="shared" si="15"/>
        <v>2.0099866694228714</v>
      </c>
      <c r="D10" s="20">
        <f t="shared" si="1"/>
        <v>2.0050227032990779</v>
      </c>
      <c r="E10" s="21">
        <f t="shared" si="2"/>
        <v>2.0023185404525154</v>
      </c>
      <c r="F10" s="22">
        <f t="shared" si="3"/>
        <v>1.997367229502248</v>
      </c>
      <c r="G10" s="23">
        <f t="shared" si="4"/>
        <v>1.9919751083941328</v>
      </c>
      <c r="H10" s="24">
        <f t="shared" si="5"/>
        <v>1.9865926755899288</v>
      </c>
      <c r="I10" s="25">
        <f t="shared" si="6"/>
        <v>1.9740711960670048</v>
      </c>
      <c r="K10">
        <v>2</v>
      </c>
      <c r="L10" s="18">
        <f t="shared" si="7"/>
        <v>3.4906585039886591E-2</v>
      </c>
      <c r="M10" s="26">
        <f t="shared" si="8"/>
        <v>174.98501999586568</v>
      </c>
      <c r="N10" s="20">
        <f t="shared" si="9"/>
        <v>174.99246594505138</v>
      </c>
      <c r="O10" s="21">
        <f t="shared" si="10"/>
        <v>174.99652218932124</v>
      </c>
      <c r="P10" s="22">
        <f t="shared" si="11"/>
        <v>175.00394915574662</v>
      </c>
      <c r="Q10" s="23">
        <f t="shared" si="12"/>
        <v>175.0120373374088</v>
      </c>
      <c r="R10" s="24">
        <f t="shared" si="13"/>
        <v>175.02011098661509</v>
      </c>
      <c r="S10" s="25">
        <f t="shared" si="14"/>
        <v>175.03889320589948</v>
      </c>
    </row>
    <row r="11" spans="1:19">
      <c r="A11">
        <v>3</v>
      </c>
      <c r="B11" s="18">
        <f t="shared" si="0"/>
        <v>5.2359877559829883E-2</v>
      </c>
      <c r="C11" s="19">
        <f t="shared" si="15"/>
        <v>3.013982437994482</v>
      </c>
      <c r="D11" s="20">
        <f t="shared" si="1"/>
        <v>3.0065351815745327</v>
      </c>
      <c r="E11" s="21">
        <f t="shared" si="2"/>
        <v>3.0024782274027721</v>
      </c>
      <c r="F11" s="22">
        <f t="shared" si="3"/>
        <v>2.9950499652144469</v>
      </c>
      <c r="G11" s="23">
        <f t="shared" si="4"/>
        <v>2.9869603784051311</v>
      </c>
      <c r="H11" s="24">
        <f t="shared" si="5"/>
        <v>2.9788853327850635</v>
      </c>
      <c r="I11" s="25">
        <f t="shared" si="6"/>
        <v>2.9600998889082621</v>
      </c>
      <c r="K11">
        <v>3</v>
      </c>
      <c r="L11" s="18">
        <f>K11 *PI() / 180</f>
        <v>5.2359877559829883E-2</v>
      </c>
      <c r="M11" s="26">
        <f t="shared" si="8"/>
        <v>172.47902634300829</v>
      </c>
      <c r="N11" s="20">
        <f t="shared" si="9"/>
        <v>172.49019722763819</v>
      </c>
      <c r="O11" s="21">
        <f t="shared" si="10"/>
        <v>172.49628265889584</v>
      </c>
      <c r="P11" s="22">
        <f t="shared" si="11"/>
        <v>172.50742505217832</v>
      </c>
      <c r="Q11" s="23">
        <f t="shared" si="12"/>
        <v>172.5195594323923</v>
      </c>
      <c r="R11" s="24">
        <f t="shared" si="13"/>
        <v>172.5316720008224</v>
      </c>
      <c r="S11" s="25">
        <f t="shared" si="14"/>
        <v>172.5598501666376</v>
      </c>
    </row>
    <row r="12" spans="1:19">
      <c r="A12">
        <v>4</v>
      </c>
      <c r="B12" s="18">
        <f t="shared" si="0"/>
        <v>6.9813170079773182E-2</v>
      </c>
      <c r="C12" s="19">
        <f t="shared" si="15"/>
        <v>4.0167797380723123</v>
      </c>
      <c r="D12" s="20">
        <f t="shared" si="1"/>
        <v>4.006847623719171</v>
      </c>
      <c r="E12" s="21">
        <f t="shared" si="2"/>
        <v>4.0014370269139246</v>
      </c>
      <c r="F12" s="22">
        <f t="shared" si="3"/>
        <v>3.991530259632583</v>
      </c>
      <c r="G12" s="23">
        <f t="shared" si="4"/>
        <v>3.9807415221144353</v>
      </c>
      <c r="H12" s="24">
        <f t="shared" si="5"/>
        <v>3.9699721891632951</v>
      </c>
      <c r="I12" s="25">
        <f t="shared" si="6"/>
        <v>3.9449189142253047</v>
      </c>
      <c r="K12">
        <v>4</v>
      </c>
      <c r="L12" s="18">
        <f t="shared" ref="L12:L75" si="16">K12 *PI() / 180</f>
        <v>6.9813170079773182E-2</v>
      </c>
      <c r="M12" s="26">
        <f t="shared" si="8"/>
        <v>169.97483039289153</v>
      </c>
      <c r="N12" s="20">
        <f t="shared" si="9"/>
        <v>169.98972856442123</v>
      </c>
      <c r="O12" s="21">
        <f t="shared" si="10"/>
        <v>169.99784445962911</v>
      </c>
      <c r="P12" s="22">
        <f t="shared" si="11"/>
        <v>170.01270461055111</v>
      </c>
      <c r="Q12" s="23">
        <f t="shared" si="12"/>
        <v>170.02888771682834</v>
      </c>
      <c r="R12" s="24">
        <f t="shared" si="13"/>
        <v>170.04504171625507</v>
      </c>
      <c r="S12" s="25">
        <f t="shared" si="14"/>
        <v>170.08262162866205</v>
      </c>
    </row>
    <row r="13" spans="1:19">
      <c r="A13">
        <v>5</v>
      </c>
      <c r="B13" s="18">
        <f t="shared" si="0"/>
        <v>8.7266462599716474E-2</v>
      </c>
      <c r="C13" s="19">
        <f t="shared" si="15"/>
        <v>5.0179767625206289</v>
      </c>
      <c r="D13" s="20">
        <f t="shared" si="1"/>
        <v>5.0055577018055537</v>
      </c>
      <c r="E13" s="21">
        <f t="shared" si="2"/>
        <v>4.9987923282533249</v>
      </c>
      <c r="F13" s="22">
        <f t="shared" si="3"/>
        <v>4.9864049858537474</v>
      </c>
      <c r="G13" s="23">
        <f t="shared" si="4"/>
        <v>4.972914852913199</v>
      </c>
      <c r="H13" s="24">
        <f t="shared" si="5"/>
        <v>4.9594490019278599</v>
      </c>
      <c r="I13" s="25">
        <f t="shared" si="6"/>
        <v>4.9281227450264513</v>
      </c>
      <c r="K13">
        <v>5</v>
      </c>
      <c r="L13" s="18">
        <f t="shared" si="16"/>
        <v>8.7266462599716474E-2</v>
      </c>
      <c r="M13" s="26">
        <f t="shared" si="8"/>
        <v>167.47303485621904</v>
      </c>
      <c r="N13" s="20">
        <f t="shared" si="9"/>
        <v>167.49166344729167</v>
      </c>
      <c r="O13" s="21">
        <f t="shared" si="10"/>
        <v>167.50181150762</v>
      </c>
      <c r="P13" s="22">
        <f t="shared" si="11"/>
        <v>167.52039252121938</v>
      </c>
      <c r="Q13" s="23">
        <f t="shared" si="12"/>
        <v>167.5406277206302</v>
      </c>
      <c r="R13" s="24">
        <f t="shared" si="13"/>
        <v>167.56082649710822</v>
      </c>
      <c r="S13" s="25">
        <f t="shared" si="14"/>
        <v>167.60781588246033</v>
      </c>
    </row>
    <row r="14" spans="1:19">
      <c r="A14">
        <v>6</v>
      </c>
      <c r="B14" s="18">
        <f t="shared" si="0"/>
        <v>0.10471975511965977</v>
      </c>
      <c r="C14" s="19">
        <f t="shared" si="15"/>
        <v>6.017169712803824</v>
      </c>
      <c r="D14" s="20">
        <f t="shared" si="1"/>
        <v>6.0022610980375219</v>
      </c>
      <c r="E14" s="21">
        <f t="shared" si="2"/>
        <v>5.9941395316612045</v>
      </c>
      <c r="F14" s="22">
        <f t="shared" si="3"/>
        <v>5.9792690295024791</v>
      </c>
      <c r="G14" s="23">
        <f t="shared" si="4"/>
        <v>5.9630746984329654</v>
      </c>
      <c r="H14" s="24">
        <f t="shared" si="5"/>
        <v>5.9469095442529145</v>
      </c>
      <c r="I14" s="25">
        <f t="shared" si="6"/>
        <v>5.9093038743959028</v>
      </c>
      <c r="K14">
        <v>6</v>
      </c>
      <c r="L14" s="18">
        <f t="shared" si="16"/>
        <v>0.10471975511965977</v>
      </c>
      <c r="M14" s="26">
        <f t="shared" si="8"/>
        <v>164.97424543079427</v>
      </c>
      <c r="N14" s="20">
        <f t="shared" si="9"/>
        <v>164.99660835294372</v>
      </c>
      <c r="O14" s="21">
        <f t="shared" si="10"/>
        <v>165.00879070250818</v>
      </c>
      <c r="P14" s="22">
        <f t="shared" si="11"/>
        <v>165.03109645574628</v>
      </c>
      <c r="Q14" s="23">
        <f t="shared" si="12"/>
        <v>165.05538795235054</v>
      </c>
      <c r="R14" s="24">
        <f t="shared" si="13"/>
        <v>165.07963568362064</v>
      </c>
      <c r="S14" s="25">
        <f t="shared" si="14"/>
        <v>165.13604418840615</v>
      </c>
    </row>
    <row r="15" spans="1:19">
      <c r="A15">
        <v>7</v>
      </c>
      <c r="B15" s="18">
        <f t="shared" si="0"/>
        <v>0.12217304763960307</v>
      </c>
      <c r="C15" s="19">
        <f t="shared" si="15"/>
        <v>7.0139522950754127</v>
      </c>
      <c r="D15" s="20">
        <f t="shared" si="1"/>
        <v>6.9965510012568828</v>
      </c>
      <c r="E15" s="21">
        <f t="shared" si="2"/>
        <v>6.9870715450867635</v>
      </c>
      <c r="F15" s="22">
        <f t="shared" si="3"/>
        <v>6.9697147858903108</v>
      </c>
      <c r="G15" s="23">
        <f t="shared" si="4"/>
        <v>6.9508128981713391</v>
      </c>
      <c r="H15" s="24">
        <f t="shared" si="5"/>
        <v>6.9319451033796184</v>
      </c>
      <c r="I15" s="25">
        <f t="shared" si="6"/>
        <v>6.8880523147040371</v>
      </c>
      <c r="K15">
        <v>7</v>
      </c>
      <c r="L15" s="18">
        <f t="shared" si="16"/>
        <v>0.12217304763960307</v>
      </c>
      <c r="M15" s="26">
        <f t="shared" si="8"/>
        <v>162.47907155738687</v>
      </c>
      <c r="N15" s="20">
        <f t="shared" si="9"/>
        <v>162.50517349811469</v>
      </c>
      <c r="O15" s="21">
        <f t="shared" si="10"/>
        <v>162.51939268236984</v>
      </c>
      <c r="P15" s="22">
        <f t="shared" si="11"/>
        <v>162.54542782116454</v>
      </c>
      <c r="Q15" s="23">
        <f t="shared" si="12"/>
        <v>162.57378065274298</v>
      </c>
      <c r="R15" s="24">
        <f t="shared" si="13"/>
        <v>162.60208234493058</v>
      </c>
      <c r="S15" s="25">
        <f t="shared" si="14"/>
        <v>162.66792152794395</v>
      </c>
    </row>
    <row r="16" spans="1:19">
      <c r="A16">
        <v>8</v>
      </c>
      <c r="B16" s="18">
        <f t="shared" si="0"/>
        <v>0.13962634015954636</v>
      </c>
      <c r="C16" s="19">
        <f t="shared" si="15"/>
        <v>8.0079152122352966</v>
      </c>
      <c r="D16" s="20">
        <f t="shared" si="1"/>
        <v>7.9880175994418927</v>
      </c>
      <c r="E16" s="21">
        <f>4*ASIN(SIN(A16*PI()/180)/$E$4)*180/PI() - 2*A16</f>
        <v>7.9771782769288713</v>
      </c>
      <c r="F16" s="22">
        <f t="shared" si="3"/>
        <v>7.9573316532034006</v>
      </c>
      <c r="G16" s="23">
        <f t="shared" si="4"/>
        <v>7.9357182971713094</v>
      </c>
      <c r="H16" s="24">
        <f t="shared" si="5"/>
        <v>7.9141439747914113</v>
      </c>
      <c r="I16" s="25">
        <f t="shared" si="6"/>
        <v>7.8639550929561359</v>
      </c>
      <c r="K16">
        <v>8</v>
      </c>
      <c r="L16" s="18">
        <f t="shared" si="16"/>
        <v>0.13962634015954636</v>
      </c>
      <c r="M16" s="26">
        <f t="shared" si="8"/>
        <v>159.98812718164706</v>
      </c>
      <c r="N16" s="20">
        <f t="shared" si="9"/>
        <v>160.01797360083717</v>
      </c>
      <c r="O16" s="21">
        <f t="shared" si="10"/>
        <v>160.03423258460668</v>
      </c>
      <c r="P16" s="22">
        <f t="shared" si="11"/>
        <v>160.06400252019489</v>
      </c>
      <c r="Q16" s="23">
        <f t="shared" si="12"/>
        <v>160.09642255424305</v>
      </c>
      <c r="R16" s="24">
        <f t="shared" si="13"/>
        <v>160.12878403781289</v>
      </c>
      <c r="S16" s="25">
        <f t="shared" si="14"/>
        <v>160.2040673605658</v>
      </c>
    </row>
    <row r="17" spans="1:19">
      <c r="A17">
        <v>9</v>
      </c>
      <c r="B17" s="18">
        <f t="shared" si="0"/>
        <v>0.15707963267948966</v>
      </c>
      <c r="C17" s="19">
        <f t="shared" si="15"/>
        <v>8.9986456511582809</v>
      </c>
      <c r="D17" s="20">
        <f t="shared" si="1"/>
        <v>8.9762475674055757</v>
      </c>
      <c r="E17" s="21">
        <f t="shared" si="2"/>
        <v>8.9640461239921727</v>
      </c>
      <c r="F17" s="22">
        <f t="shared" si="3"/>
        <v>8.9417055209340326</v>
      </c>
      <c r="G17" s="23">
        <f t="shared" si="4"/>
        <v>8.9173762349754284</v>
      </c>
      <c r="H17" s="24">
        <f t="shared" si="5"/>
        <v>8.8930909516951147</v>
      </c>
      <c r="I17" s="25">
        <f t="shared" si="6"/>
        <v>8.8365957415188952</v>
      </c>
      <c r="K17">
        <v>9</v>
      </c>
      <c r="L17" s="18">
        <f t="shared" si="16"/>
        <v>0.15707963267948966</v>
      </c>
      <c r="M17" s="26">
        <f t="shared" si="8"/>
        <v>157.50203152326259</v>
      </c>
      <c r="N17" s="20">
        <f t="shared" si="9"/>
        <v>157.53562864889165</v>
      </c>
      <c r="O17" s="21">
        <f t="shared" si="10"/>
        <v>157.55393081401172</v>
      </c>
      <c r="P17" s="22">
        <f t="shared" si="11"/>
        <v>157.58744171859897</v>
      </c>
      <c r="Q17" s="23">
        <f t="shared" si="12"/>
        <v>157.62393564753685</v>
      </c>
      <c r="R17" s="24">
        <f t="shared" si="13"/>
        <v>157.66036357245733</v>
      </c>
      <c r="S17" s="25">
        <f t="shared" si="14"/>
        <v>157.74510638772165</v>
      </c>
    </row>
    <row r="18" spans="1:19">
      <c r="A18">
        <v>10</v>
      </c>
      <c r="B18" s="18">
        <f t="shared" si="0"/>
        <v>0.17453292519943295</v>
      </c>
      <c r="C18" s="19">
        <f t="shared" si="15"/>
        <v>9.9857267643028074</v>
      </c>
      <c r="D18" s="20">
        <f t="shared" si="1"/>
        <v>9.9608235489079107</v>
      </c>
      <c r="E18" s="21">
        <f t="shared" si="2"/>
        <v>9.9472574538755083</v>
      </c>
      <c r="F18" s="22">
        <f t="shared" si="3"/>
        <v>9.9224182527780158</v>
      </c>
      <c r="G18" s="23">
        <f t="shared" si="4"/>
        <v>9.8953680290825119</v>
      </c>
      <c r="H18" s="24">
        <f t="shared" si="5"/>
        <v>9.868366809040964</v>
      </c>
      <c r="I18" s="25">
        <f t="shared" si="6"/>
        <v>9.8055537834708524</v>
      </c>
      <c r="K18">
        <v>10</v>
      </c>
      <c r="L18" s="18">
        <f t="shared" si="16"/>
        <v>0.17453292519943295</v>
      </c>
      <c r="M18" s="26">
        <f t="shared" si="8"/>
        <v>155.02140985354578</v>
      </c>
      <c r="N18" s="20">
        <f t="shared" si="9"/>
        <v>155.05876467663813</v>
      </c>
      <c r="O18" s="21">
        <f t="shared" si="10"/>
        <v>155.07911381918672</v>
      </c>
      <c r="P18" s="22">
        <f t="shared" si="11"/>
        <v>155.11637262083298</v>
      </c>
      <c r="Q18" s="23">
        <f t="shared" si="12"/>
        <v>155.15694795637623</v>
      </c>
      <c r="R18" s="24">
        <f t="shared" si="13"/>
        <v>155.19744978643854</v>
      </c>
      <c r="S18" s="25">
        <f t="shared" si="14"/>
        <v>155.2916693247937</v>
      </c>
    </row>
    <row r="19" spans="1:19">
      <c r="A19">
        <v>11</v>
      </c>
      <c r="B19" s="18">
        <f t="shared" si="0"/>
        <v>0.19198621771937624</v>
      </c>
      <c r="C19" s="19">
        <f t="shared" si="15"/>
        <v>10.968737144916126</v>
      </c>
      <c r="D19" s="20">
        <f t="shared" si="1"/>
        <v>10.941323632403737</v>
      </c>
      <c r="E19" s="21">
        <f t="shared" si="2"/>
        <v>10.92639008101709</v>
      </c>
      <c r="F19" s="22">
        <f t="shared" si="3"/>
        <v>10.899047163227912</v>
      </c>
      <c r="G19" s="23">
        <f t="shared" si="4"/>
        <v>10.869270452142615</v>
      </c>
      <c r="H19" s="24">
        <f t="shared" si="5"/>
        <v>10.839547781323432</v>
      </c>
      <c r="I19" s="25">
        <f t="shared" si="6"/>
        <v>10.770404211831696</v>
      </c>
      <c r="K19">
        <v>11</v>
      </c>
      <c r="L19" s="18">
        <f t="shared" si="16"/>
        <v>0.19198621771937624</v>
      </c>
      <c r="M19" s="26">
        <f t="shared" si="8"/>
        <v>152.54689428262583</v>
      </c>
      <c r="N19" s="20">
        <f t="shared" si="9"/>
        <v>152.58801455139439</v>
      </c>
      <c r="O19" s="21">
        <f t="shared" si="10"/>
        <v>152.61041487847436</v>
      </c>
      <c r="P19" s="22">
        <f t="shared" si="11"/>
        <v>152.65142925515812</v>
      </c>
      <c r="Q19" s="23">
        <f t="shared" si="12"/>
        <v>152.69609432178609</v>
      </c>
      <c r="R19" s="24">
        <f t="shared" si="13"/>
        <v>152.74067832801484</v>
      </c>
      <c r="S19" s="25">
        <f t="shared" si="14"/>
        <v>152.84439368225247</v>
      </c>
    </row>
    <row r="20" spans="1:19">
      <c r="A20">
        <v>12</v>
      </c>
      <c r="B20" s="18">
        <f t="shared" si="0"/>
        <v>0.20943951023931953</v>
      </c>
      <c r="C20" s="19">
        <f t="shared" si="15"/>
        <v>11.947250295061593</v>
      </c>
      <c r="D20" s="20">
        <f t="shared" si="1"/>
        <v>11.91732081965722</v>
      </c>
      <c r="E20" s="21">
        <f t="shared" si="2"/>
        <v>11.901016735630868</v>
      </c>
      <c r="F20" s="22">
        <f t="shared" si="3"/>
        <v>11.871164487101879</v>
      </c>
      <c r="G20" s="23">
        <f t="shared" si="4"/>
        <v>11.838655202135939</v>
      </c>
      <c r="H20" s="24">
        <f t="shared" si="5"/>
        <v>11.806205033414017</v>
      </c>
      <c r="I20" s="25">
        <f t="shared" si="6"/>
        <v>11.730716961936189</v>
      </c>
      <c r="K20">
        <v>12</v>
      </c>
      <c r="L20" s="18">
        <f t="shared" si="16"/>
        <v>0.20943951023931953</v>
      </c>
      <c r="M20" s="26">
        <f t="shared" si="8"/>
        <v>150.07912455740762</v>
      </c>
      <c r="N20" s="20">
        <f t="shared" si="9"/>
        <v>150.12401877051417</v>
      </c>
      <c r="O20" s="21">
        <f t="shared" si="10"/>
        <v>150.14847489655369</v>
      </c>
      <c r="P20" s="22">
        <f t="shared" si="11"/>
        <v>150.19325326934717</v>
      </c>
      <c r="Q20" s="23">
        <f t="shared" si="12"/>
        <v>150.2420171967961</v>
      </c>
      <c r="R20" s="24">
        <f t="shared" si="13"/>
        <v>150.29069244987897</v>
      </c>
      <c r="S20" s="25">
        <f t="shared" si="14"/>
        <v>150.40392455709571</v>
      </c>
    </row>
    <row r="21" spans="1:19">
      <c r="A21">
        <v>13</v>
      </c>
      <c r="B21" s="18">
        <f t="shared" si="0"/>
        <v>0.22689280275926285</v>
      </c>
      <c r="C21" s="19">
        <f t="shared" si="15"/>
        <v>12.92083408570516</v>
      </c>
      <c r="D21" s="20">
        <f t="shared" si="1"/>
        <v>12.888382486465993</v>
      </c>
      <c r="E21" s="21">
        <f t="shared" si="2"/>
        <v>12.870704524779924</v>
      </c>
      <c r="F21" s="22">
        <f t="shared" si="3"/>
        <v>12.838336841259796</v>
      </c>
      <c r="G21" s="23">
        <f t="shared" si="4"/>
        <v>12.803088364793894</v>
      </c>
      <c r="H21" s="24">
        <f t="shared" si="5"/>
        <v>12.767904123691103</v>
      </c>
      <c r="I21" s="25">
        <f t="shared" si="6"/>
        <v>12.686056376231626</v>
      </c>
      <c r="K21">
        <v>13</v>
      </c>
      <c r="L21" s="18">
        <f t="shared" si="16"/>
        <v>0.22689280275926285</v>
      </c>
      <c r="M21" s="26">
        <f t="shared" si="8"/>
        <v>147.61874887144228</v>
      </c>
      <c r="N21" s="20">
        <f t="shared" si="9"/>
        <v>147.66742627030101</v>
      </c>
      <c r="O21" s="21">
        <f t="shared" si="10"/>
        <v>147.69394321283011</v>
      </c>
      <c r="P21" s="22">
        <f t="shared" si="11"/>
        <v>147.74249473811031</v>
      </c>
      <c r="Q21" s="23">
        <f t="shared" si="12"/>
        <v>147.79536745280916</v>
      </c>
      <c r="R21" s="24">
        <f t="shared" si="13"/>
        <v>147.84814381446336</v>
      </c>
      <c r="S21" s="25">
        <f t="shared" si="14"/>
        <v>147.97091543565256</v>
      </c>
    </row>
    <row r="22" spans="1:19">
      <c r="A22">
        <v>14</v>
      </c>
      <c r="B22" s="18">
        <f t="shared" si="0"/>
        <v>0.24434609527920614</v>
      </c>
      <c r="C22" s="19">
        <f t="shared" si="15"/>
        <v>13.88905020811179</v>
      </c>
      <c r="D22" s="20">
        <f t="shared" si="1"/>
        <v>13.854069834752103</v>
      </c>
      <c r="E22" s="21">
        <f t="shared" si="2"/>
        <v>13.835014384847348</v>
      </c>
      <c r="F22" s="22">
        <f t="shared" si="3"/>
        <v>13.800124677773354</v>
      </c>
      <c r="G22" s="23">
        <f t="shared" si="4"/>
        <v>13.7621298675354</v>
      </c>
      <c r="H22" s="24">
        <f t="shared" si="5"/>
        <v>13.724204458745952</v>
      </c>
      <c r="I22" s="25">
        <f t="shared" si="6"/>
        <v>13.635980660793784</v>
      </c>
      <c r="K22">
        <v>14</v>
      </c>
      <c r="L22" s="18">
        <f t="shared" si="16"/>
        <v>0.24434609527920614</v>
      </c>
      <c r="M22" s="26">
        <f t="shared" si="8"/>
        <v>145.16642468783229</v>
      </c>
      <c r="N22" s="20">
        <f t="shared" si="9"/>
        <v>145.21889524787184</v>
      </c>
      <c r="O22" s="21">
        <f t="shared" si="10"/>
        <v>145.24747842272899</v>
      </c>
      <c r="P22" s="22">
        <f t="shared" si="11"/>
        <v>145.29981298333996</v>
      </c>
      <c r="Q22" s="23">
        <f t="shared" si="12"/>
        <v>145.35680519869689</v>
      </c>
      <c r="R22" s="24">
        <f t="shared" si="13"/>
        <v>145.41369331188105</v>
      </c>
      <c r="S22" s="25">
        <f t="shared" si="14"/>
        <v>145.54602900880934</v>
      </c>
    </row>
    <row r="23" spans="1:19">
      <c r="A23">
        <v>15</v>
      </c>
      <c r="B23" s="18">
        <f t="shared" si="0"/>
        <v>0.26179938779914941</v>
      </c>
      <c r="C23" s="19">
        <f t="shared" si="15"/>
        <v>14.851453615820667</v>
      </c>
      <c r="D23" s="20">
        <f t="shared" si="1"/>
        <v>14.813937335294227</v>
      </c>
      <c r="E23" s="21">
        <f t="shared" si="2"/>
        <v>14.793500524682834</v>
      </c>
      <c r="F23" s="22">
        <f t="shared" si="3"/>
        <v>14.756081727834456</v>
      </c>
      <c r="G23" s="23">
        <f t="shared" si="4"/>
        <v>14.71533292420964</v>
      </c>
      <c r="H23" s="24">
        <f t="shared" si="5"/>
        <v>14.674658738963366</v>
      </c>
      <c r="I23" s="25">
        <f t="shared" si="6"/>
        <v>14.580041332875311</v>
      </c>
      <c r="K23">
        <v>15</v>
      </c>
      <c r="L23" s="18">
        <f t="shared" si="16"/>
        <v>0.26179938779914941</v>
      </c>
      <c r="M23" s="26">
        <f t="shared" si="8"/>
        <v>142.72281957626899</v>
      </c>
      <c r="N23" s="20">
        <f t="shared" si="9"/>
        <v>142.77909399705865</v>
      </c>
      <c r="O23" s="21">
        <f t="shared" si="10"/>
        <v>142.80974921297576</v>
      </c>
      <c r="P23" s="22">
        <f t="shared" si="11"/>
        <v>142.86587740824831</v>
      </c>
      <c r="Q23" s="23">
        <f t="shared" si="12"/>
        <v>142.92700061368555</v>
      </c>
      <c r="R23" s="24">
        <f t="shared" si="13"/>
        <v>142.98801189155495</v>
      </c>
      <c r="S23" s="25">
        <f t="shared" si="14"/>
        <v>143.12993800068705</v>
      </c>
    </row>
    <row r="24" spans="1:19">
      <c r="A24">
        <v>16</v>
      </c>
      <c r="B24" s="18">
        <f t="shared" si="0"/>
        <v>0.27925268031909273</v>
      </c>
      <c r="C24" s="19">
        <f t="shared" si="15"/>
        <v>15.807591956487229</v>
      </c>
      <c r="D24" s="20">
        <f t="shared" si="1"/>
        <v>15.767532160396776</v>
      </c>
      <c r="E24" s="21">
        <f t="shared" si="2"/>
        <v>15.745709858723956</v>
      </c>
      <c r="F24" s="22">
        <f t="shared" si="3"/>
        <v>15.705754435707703</v>
      </c>
      <c r="G24" s="23">
        <f t="shared" si="4"/>
        <v>15.662243469958575</v>
      </c>
      <c r="H24" s="24">
        <f t="shared" si="5"/>
        <v>15.618812394297144</v>
      </c>
      <c r="I24" s="25">
        <f t="shared" si="6"/>
        <v>15.517782658823663</v>
      </c>
      <c r="K24">
        <v>16</v>
      </c>
      <c r="L24" s="18">
        <f t="shared" si="16"/>
        <v>0.27925268031909273</v>
      </c>
      <c r="M24" s="26">
        <f t="shared" si="8"/>
        <v>140.28861206526915</v>
      </c>
      <c r="N24" s="20">
        <f t="shared" si="9"/>
        <v>140.34870175940483</v>
      </c>
      <c r="O24" s="21">
        <f t="shared" si="10"/>
        <v>140.38143521191404</v>
      </c>
      <c r="P24" s="22">
        <f t="shared" si="11"/>
        <v>140.44136834643845</v>
      </c>
      <c r="Q24" s="23">
        <f t="shared" si="12"/>
        <v>140.50663479506215</v>
      </c>
      <c r="R24" s="24">
        <f t="shared" si="13"/>
        <v>140.57178140855427</v>
      </c>
      <c r="S24" s="25">
        <f t="shared" si="14"/>
        <v>140.72332601176453</v>
      </c>
    </row>
    <row r="25" spans="1:19">
      <c r="A25">
        <v>17</v>
      </c>
      <c r="B25" s="18">
        <f t="shared" si="0"/>
        <v>0.29670597283903605</v>
      </c>
      <c r="C25" s="19">
        <f t="shared" si="15"/>
        <v>16.757004992906197</v>
      </c>
      <c r="D25" s="20">
        <f t="shared" si="1"/>
        <v>16.714393605816404</v>
      </c>
      <c r="E25" s="21">
        <f t="shared" si="2"/>
        <v>16.691181429416766</v>
      </c>
      <c r="F25" s="22">
        <f t="shared" si="3"/>
        <v>16.648681382058591</v>
      </c>
      <c r="G25" s="23">
        <f t="shared" si="4"/>
        <v>16.602399585537874</v>
      </c>
      <c r="H25" s="24">
        <f t="shared" si="5"/>
        <v>16.556203009587009</v>
      </c>
      <c r="I25" s="25">
        <f t="shared" si="6"/>
        <v>16.448741081732706</v>
      </c>
      <c r="K25">
        <v>17</v>
      </c>
      <c r="L25" s="18">
        <f t="shared" si="16"/>
        <v>0.29670597283903605</v>
      </c>
      <c r="M25" s="26">
        <f t="shared" si="8"/>
        <v>137.8644925106407</v>
      </c>
      <c r="N25" s="20">
        <f t="shared" si="9"/>
        <v>137.9284095912754</v>
      </c>
      <c r="O25" s="21">
        <f t="shared" si="10"/>
        <v>137.96322785587486</v>
      </c>
      <c r="P25" s="22">
        <f t="shared" si="11"/>
        <v>138.02697792691211</v>
      </c>
      <c r="Q25" s="23">
        <f t="shared" si="12"/>
        <v>138.09640062169319</v>
      </c>
      <c r="R25" s="24">
        <f t="shared" si="13"/>
        <v>138.16569548561949</v>
      </c>
      <c r="S25" s="25">
        <f t="shared" si="14"/>
        <v>138.32688837740093</v>
      </c>
    </row>
    <row r="26" spans="1:19">
      <c r="A26">
        <v>18</v>
      </c>
      <c r="B26" s="18">
        <f t="shared" si="0"/>
        <v>0.31415926535897931</v>
      </c>
      <c r="C26" s="19">
        <f t="shared" si="15"/>
        <v>17.699224012558446</v>
      </c>
      <c r="D26" s="20">
        <f t="shared" si="1"/>
        <v>17.654052501296761</v>
      </c>
      <c r="E26" s="21">
        <f t="shared" si="2"/>
        <v>17.629445818290129</v>
      </c>
      <c r="F26" s="22">
        <f t="shared" si="3"/>
        <v>17.584392696019194</v>
      </c>
      <c r="G26" s="23">
        <f t="shared" si="4"/>
        <v>17.535330910466826</v>
      </c>
      <c r="H26" s="24">
        <f t="shared" si="5"/>
        <v>17.486359738795066</v>
      </c>
      <c r="I26" s="25">
        <f t="shared" si="6"/>
        <v>17.372444638224479</v>
      </c>
      <c r="K26">
        <v>18</v>
      </c>
      <c r="L26" s="18">
        <f t="shared" si="16"/>
        <v>0.31415926535897931</v>
      </c>
      <c r="M26" s="26">
        <f t="shared" si="8"/>
        <v>135.45116398116232</v>
      </c>
      <c r="N26" s="20">
        <f t="shared" si="9"/>
        <v>135.51892124805485</v>
      </c>
      <c r="O26" s="21">
        <f t="shared" si="10"/>
        <v>135.5558312725648</v>
      </c>
      <c r="P26" s="22">
        <f t="shared" si="11"/>
        <v>135.62341095597122</v>
      </c>
      <c r="Q26" s="23">
        <f t="shared" si="12"/>
        <v>135.69700363429976</v>
      </c>
      <c r="R26" s="24">
        <f t="shared" si="13"/>
        <v>135.7704603918074</v>
      </c>
      <c r="S26" s="25">
        <f t="shared" si="14"/>
        <v>135.9413330426633</v>
      </c>
    </row>
    <row r="27" spans="1:19">
      <c r="A27">
        <v>19</v>
      </c>
      <c r="B27" s="18">
        <f t="shared" si="0"/>
        <v>0.33161255787892258</v>
      </c>
      <c r="C27" s="19">
        <f t="shared" si="15"/>
        <v>18.633771225060386</v>
      </c>
      <c r="D27" s="20">
        <f t="shared" si="1"/>
        <v>18.586030609097499</v>
      </c>
      <c r="E27" s="21">
        <f t="shared" si="2"/>
        <v>18.560024545074718</v>
      </c>
      <c r="F27" s="22">
        <f t="shared" si="3"/>
        <v>18.512409455389978</v>
      </c>
      <c r="G27" s="23">
        <f t="shared" si="4"/>
        <v>18.460558044413574</v>
      </c>
      <c r="H27" s="24">
        <f t="shared" si="5"/>
        <v>18.408802707576882</v>
      </c>
      <c r="I27" s="25">
        <f t="shared" si="6"/>
        <v>18.288412363795558</v>
      </c>
      <c r="K27">
        <v>19</v>
      </c>
      <c r="L27" s="18">
        <f t="shared" si="16"/>
        <v>0.33161255787892258</v>
      </c>
      <c r="M27" s="26">
        <f t="shared" si="8"/>
        <v>133.0493431624094</v>
      </c>
      <c r="N27" s="20">
        <f t="shared" si="9"/>
        <v>133.12095408635378</v>
      </c>
      <c r="O27" s="21">
        <f t="shared" si="10"/>
        <v>133.15996318238791</v>
      </c>
      <c r="P27" s="22">
        <f t="shared" si="11"/>
        <v>133.23138581691501</v>
      </c>
      <c r="Q27" s="23">
        <f t="shared" si="12"/>
        <v>133.30916293337964</v>
      </c>
      <c r="R27" s="24">
        <f t="shared" si="13"/>
        <v>133.38679593863469</v>
      </c>
      <c r="S27" s="25">
        <f t="shared" si="14"/>
        <v>133.56738145430666</v>
      </c>
    </row>
    <row r="28" spans="1:19">
      <c r="A28">
        <v>20</v>
      </c>
      <c r="B28" s="18">
        <f t="shared" si="0"/>
        <v>0.3490658503988659</v>
      </c>
      <c r="C28" s="19">
        <f t="shared" si="15"/>
        <v>19.560159146935078</v>
      </c>
      <c r="D28" s="20">
        <f t="shared" si="1"/>
        <v>19.509840009945371</v>
      </c>
      <c r="E28" s="21">
        <f t="shared" si="2"/>
        <v>19.482429454298298</v>
      </c>
      <c r="F28" s="22">
        <f t="shared" si="3"/>
        <v>19.432243074417748</v>
      </c>
      <c r="G28" s="23">
        <f t="shared" si="4"/>
        <v>19.377591936265048</v>
      </c>
      <c r="H28" s="24">
        <f t="shared" si="5"/>
        <v>19.323042403645175</v>
      </c>
      <c r="I28" s="25">
        <f t="shared" si="6"/>
        <v>19.196153686206493</v>
      </c>
      <c r="K28">
        <v>20</v>
      </c>
      <c r="L28" s="18">
        <f t="shared" si="16"/>
        <v>0.3490658503988659</v>
      </c>
      <c r="M28" s="26">
        <f t="shared" si="8"/>
        <v>130.65976127959738</v>
      </c>
      <c r="N28" s="20">
        <f t="shared" si="9"/>
        <v>130.73523998508193</v>
      </c>
      <c r="O28" s="21">
        <f t="shared" si="10"/>
        <v>130.77635581855256</v>
      </c>
      <c r="P28" s="22">
        <f t="shared" si="11"/>
        <v>130.85163538837338</v>
      </c>
      <c r="Q28" s="23">
        <f t="shared" si="12"/>
        <v>130.93361209560243</v>
      </c>
      <c r="R28" s="24">
        <f t="shared" si="13"/>
        <v>131.01543639453223</v>
      </c>
      <c r="S28" s="25">
        <f t="shared" si="14"/>
        <v>131.20576947069026</v>
      </c>
    </row>
    <row r="29" spans="1:19">
      <c r="A29">
        <v>21</v>
      </c>
      <c r="B29" s="18">
        <f t="shared" si="0"/>
        <v>0.36651914291880922</v>
      </c>
      <c r="C29" s="19">
        <f t="shared" si="15"/>
        <v>20.477889973174243</v>
      </c>
      <c r="D29" s="20">
        <f t="shared" si="1"/>
        <v>20.424982475885102</v>
      </c>
      <c r="E29" s="21">
        <f t="shared" si="2"/>
        <v>20.396162088840207</v>
      </c>
      <c r="F29" s="22">
        <f t="shared" si="3"/>
        <v>20.343394678640855</v>
      </c>
      <c r="G29" s="23">
        <f t="shared" si="4"/>
        <v>20.285933260381732</v>
      </c>
      <c r="H29" s="24">
        <f t="shared" si="5"/>
        <v>20.228579054435741</v>
      </c>
      <c r="I29" s="25">
        <f t="shared" si="6"/>
        <v>20.09516780644509</v>
      </c>
      <c r="K29">
        <v>21</v>
      </c>
      <c r="L29" s="18">
        <f t="shared" si="16"/>
        <v>0.36651914291880922</v>
      </c>
      <c r="M29" s="26">
        <f t="shared" si="8"/>
        <v>128.28316504023863</v>
      </c>
      <c r="N29" s="20">
        <f t="shared" si="9"/>
        <v>128.36252628617237</v>
      </c>
      <c r="O29" s="21">
        <f t="shared" si="10"/>
        <v>128.40575686673969</v>
      </c>
      <c r="P29" s="22">
        <f t="shared" si="11"/>
        <v>128.48490798203869</v>
      </c>
      <c r="Q29" s="23">
        <f t="shared" si="12"/>
        <v>128.57110010942739</v>
      </c>
      <c r="R29" s="24">
        <f t="shared" si="13"/>
        <v>128.65713141834635</v>
      </c>
      <c r="S29" s="25">
        <f t="shared" si="14"/>
        <v>128.85724829033236</v>
      </c>
    </row>
    <row r="30" spans="1:19">
      <c r="A30">
        <v>22</v>
      </c>
      <c r="B30" s="18">
        <f t="shared" si="0"/>
        <v>0.38397243543875248</v>
      </c>
      <c r="C30" s="19">
        <f t="shared" si="15"/>
        <v>21.386454935116404</v>
      </c>
      <c r="D30" s="20">
        <f t="shared" si="1"/>
        <v>21.330948829564335</v>
      </c>
      <c r="E30" s="21">
        <f t="shared" si="2"/>
        <v>21.300713049984168</v>
      </c>
      <c r="F30" s="22">
        <f t="shared" si="3"/>
        <v>21.245354466350321</v>
      </c>
      <c r="G30" s="23">
        <f t="shared" si="4"/>
        <v>21.185071779596001</v>
      </c>
      <c r="H30" s="24">
        <f t="shared" si="5"/>
        <v>21.124901991643569</v>
      </c>
      <c r="I30" s="25">
        <f t="shared" si="6"/>
        <v>20.984943066854413</v>
      </c>
      <c r="K30">
        <v>22</v>
      </c>
      <c r="L30" s="18">
        <f t="shared" si="16"/>
        <v>0.38397243543875248</v>
      </c>
      <c r="M30" s="26">
        <f t="shared" si="8"/>
        <v>125.92031759732539</v>
      </c>
      <c r="N30" s="20">
        <f t="shared" si="9"/>
        <v>126.0035767556535</v>
      </c>
      <c r="O30" s="21">
        <f t="shared" si="10"/>
        <v>126.04893042502377</v>
      </c>
      <c r="P30" s="22">
        <f t="shared" si="11"/>
        <v>126.13196830047451</v>
      </c>
      <c r="Q30" s="23">
        <f t="shared" si="12"/>
        <v>126.22239233060598</v>
      </c>
      <c r="R30" s="24">
        <f t="shared" si="13"/>
        <v>126.31264701253464</v>
      </c>
      <c r="S30" s="25">
        <f t="shared" si="14"/>
        <v>126.52258539971838</v>
      </c>
    </row>
    <row r="31" spans="1:19">
      <c r="A31">
        <v>23</v>
      </c>
      <c r="B31" s="18">
        <f t="shared" si="0"/>
        <v>0.40142572795869574</v>
      </c>
      <c r="C31" s="19">
        <f t="shared" si="15"/>
        <v>22.285333644233603</v>
      </c>
      <c r="D31" s="20">
        <f t="shared" si="1"/>
        <v>22.227218289554941</v>
      </c>
      <c r="E31" s="21">
        <f t="shared" si="2"/>
        <v>22.195561343576586</v>
      </c>
      <c r="F31" s="22">
        <f t="shared" si="3"/>
        <v>22.137601056283131</v>
      </c>
      <c r="G31" s="23">
        <f t="shared" si="4"/>
        <v>22.074485694580332</v>
      </c>
      <c r="H31" s="24">
        <f t="shared" si="5"/>
        <v>22.011489002266458</v>
      </c>
      <c r="I31" s="25">
        <f t="shared" si="6"/>
        <v>21.864956306085915</v>
      </c>
      <c r="K31">
        <v>23</v>
      </c>
      <c r="L31" s="18">
        <f t="shared" si="16"/>
        <v>0.40142572795869574</v>
      </c>
      <c r="M31" s="26">
        <f t="shared" si="8"/>
        <v>123.57199953364957</v>
      </c>
      <c r="N31" s="20">
        <f t="shared" si="9"/>
        <v>123.65917256566757</v>
      </c>
      <c r="O31" s="21">
        <f t="shared" si="10"/>
        <v>123.70665798463513</v>
      </c>
      <c r="P31" s="22">
        <f t="shared" si="11"/>
        <v>123.79359841557529</v>
      </c>
      <c r="Q31" s="23">
        <f t="shared" si="12"/>
        <v>123.88827145812951</v>
      </c>
      <c r="R31" s="24">
        <f t="shared" si="13"/>
        <v>123.98276649660031</v>
      </c>
      <c r="S31" s="25">
        <f t="shared" si="14"/>
        <v>124.20256554087112</v>
      </c>
    </row>
    <row r="32" spans="1:19">
      <c r="A32">
        <v>24</v>
      </c>
      <c r="B32" s="18">
        <f t="shared" si="0"/>
        <v>0.41887902047863906</v>
      </c>
      <c r="C32" s="19">
        <f t="shared" si="15"/>
        <v>23.173993421495979</v>
      </c>
      <c r="D32" s="20">
        <f t="shared" si="1"/>
        <v>23.113257801389722</v>
      </c>
      <c r="E32" s="21">
        <f t="shared" si="2"/>
        <v>23.080173711975334</v>
      </c>
      <c r="F32" s="22">
        <f t="shared" si="3"/>
        <v>23.019600821242975</v>
      </c>
      <c r="G32" s="23">
        <f t="shared" si="4"/>
        <v>22.953640979291592</v>
      </c>
      <c r="H32" s="24">
        <f t="shared" si="5"/>
        <v>22.887805665872463</v>
      </c>
      <c r="I32" s="25">
        <f t="shared" si="6"/>
        <v>22.73467220061876</v>
      </c>
      <c r="K32">
        <v>24</v>
      </c>
      <c r="L32" s="18">
        <f t="shared" si="16"/>
        <v>0.41887902047863906</v>
      </c>
      <c r="M32" s="26">
        <f t="shared" si="8"/>
        <v>121.23900986775604</v>
      </c>
      <c r="N32" s="20">
        <f t="shared" si="9"/>
        <v>121.33011329791542</v>
      </c>
      <c r="O32" s="21">
        <f t="shared" si="10"/>
        <v>121.379739432037</v>
      </c>
      <c r="P32" s="22">
        <f t="shared" si="11"/>
        <v>121.47059876813555</v>
      </c>
      <c r="Q32" s="23">
        <f t="shared" si="12"/>
        <v>121.56953853106262</v>
      </c>
      <c r="R32" s="24">
        <f t="shared" si="13"/>
        <v>121.66829150119129</v>
      </c>
      <c r="S32" s="25">
        <f t="shared" si="14"/>
        <v>121.89799169907185</v>
      </c>
    </row>
    <row r="33" spans="1:19">
      <c r="A33">
        <v>25</v>
      </c>
      <c r="B33" s="18">
        <f t="shared" si="0"/>
        <v>0.43633231299858238</v>
      </c>
      <c r="C33" s="19">
        <f t="shared" si="15"/>
        <v>24.051888612072972</v>
      </c>
      <c r="D33" s="20">
        <f t="shared" si="1"/>
        <v>23.988521354083986</v>
      </c>
      <c r="E33" s="21">
        <f t="shared" si="2"/>
        <v>23.954003951564118</v>
      </c>
      <c r="F33" s="22">
        <f t="shared" si="3"/>
        <v>23.89080720743371</v>
      </c>
      <c r="G33" s="23">
        <f t="shared" si="4"/>
        <v>23.82199070228782</v>
      </c>
      <c r="H33" s="24">
        <f t="shared" si="5"/>
        <v>23.753304677898797</v>
      </c>
      <c r="I33" s="25">
        <f t="shared" si="6"/>
        <v>23.593542592679285</v>
      </c>
      <c r="K33">
        <v>25</v>
      </c>
      <c r="L33" s="18">
        <f t="shared" si="16"/>
        <v>0.43633231299858238</v>
      </c>
      <c r="M33" s="26">
        <f t="shared" si="8"/>
        <v>118.92216708189054</v>
      </c>
      <c r="N33" s="20">
        <f t="shared" si="9"/>
        <v>119.01721796887401</v>
      </c>
      <c r="O33" s="21">
        <f t="shared" si="10"/>
        <v>119.06899407265382</v>
      </c>
      <c r="P33" s="22">
        <f t="shared" si="11"/>
        <v>119.16378918884944</v>
      </c>
      <c r="Q33" s="23">
        <f t="shared" si="12"/>
        <v>119.26701394656826</v>
      </c>
      <c r="R33" s="24">
        <f t="shared" si="13"/>
        <v>119.37004298315181</v>
      </c>
      <c r="S33" s="25">
        <f t="shared" si="14"/>
        <v>119.60968611098107</v>
      </c>
    </row>
    <row r="34" spans="1:19">
      <c r="A34">
        <v>26</v>
      </c>
      <c r="B34" s="18">
        <f t="shared" si="0"/>
        <v>0.4537856055185257</v>
      </c>
      <c r="C34" s="19">
        <f t="shared" si="15"/>
        <v>24.918459885233077</v>
      </c>
      <c r="D34" s="20">
        <f t="shared" si="1"/>
        <v>24.852449282015129</v>
      </c>
      <c r="E34" s="21">
        <f t="shared" si="2"/>
        <v>24.816492215710937</v>
      </c>
      <c r="F34" s="22">
        <f t="shared" si="3"/>
        <v>24.750660039394873</v>
      </c>
      <c r="G34" s="23">
        <f t="shared" si="4"/>
        <v>24.678974333819028</v>
      </c>
      <c r="H34" s="24">
        <f t="shared" si="5"/>
        <v>24.607425158895623</v>
      </c>
      <c r="I34" s="25">
        <f t="shared" si="6"/>
        <v>24.441005804499724</v>
      </c>
      <c r="K34">
        <v>26</v>
      </c>
      <c r="L34" s="18">
        <f t="shared" si="16"/>
        <v>0.4537856055185257</v>
      </c>
      <c r="M34" s="26">
        <f t="shared" si="8"/>
        <v>116.62231017215039</v>
      </c>
      <c r="N34" s="20">
        <f t="shared" si="9"/>
        <v>116.72132607697732</v>
      </c>
      <c r="O34" s="21">
        <f t="shared" si="10"/>
        <v>116.77526167643362</v>
      </c>
      <c r="P34" s="22">
        <f t="shared" si="11"/>
        <v>116.8740099409077</v>
      </c>
      <c r="Q34" s="23">
        <f t="shared" si="12"/>
        <v>116.98153849927147</v>
      </c>
      <c r="R34" s="24">
        <f t="shared" si="13"/>
        <v>117.08886226165654</v>
      </c>
      <c r="S34" s="25">
        <f t="shared" si="14"/>
        <v>117.33849129325043</v>
      </c>
    </row>
    <row r="35" spans="1:19">
      <c r="A35">
        <v>27</v>
      </c>
      <c r="B35" s="18">
        <f t="shared" si="0"/>
        <v>0.47123889803846897</v>
      </c>
      <c r="C35" s="19">
        <f t="shared" si="15"/>
        <v>25.773133519421521</v>
      </c>
      <c r="D35" s="20">
        <f t="shared" si="1"/>
        <v>25.704467552150618</v>
      </c>
      <c r="E35" s="21">
        <f t="shared" si="2"/>
        <v>25.667064303168104</v>
      </c>
      <c r="F35" s="22">
        <f t="shared" si="3"/>
        <v>25.598584810548502</v>
      </c>
      <c r="G35" s="23">
        <f t="shared" si="4"/>
        <v>25.524017038712657</v>
      </c>
      <c r="H35" s="24">
        <f t="shared" si="5"/>
        <v>25.449591949747557</v>
      </c>
      <c r="I35" s="25">
        <f t="shared" si="6"/>
        <v>25.276485938978112</v>
      </c>
      <c r="K35">
        <v>27</v>
      </c>
      <c r="L35" s="18">
        <f t="shared" si="16"/>
        <v>0.47123889803846897</v>
      </c>
      <c r="M35" s="26">
        <f t="shared" si="8"/>
        <v>114.34029972086773</v>
      </c>
      <c r="N35" s="20">
        <f t="shared" si="9"/>
        <v>114.44329867177406</v>
      </c>
      <c r="O35" s="21">
        <f t="shared" si="10"/>
        <v>114.49940354524784</v>
      </c>
      <c r="P35" s="22">
        <f t="shared" si="11"/>
        <v>114.60212278417725</v>
      </c>
      <c r="Q35" s="23">
        <f t="shared" si="12"/>
        <v>114.71397444193103</v>
      </c>
      <c r="R35" s="24">
        <f t="shared" si="13"/>
        <v>114.82561207537864</v>
      </c>
      <c r="S35" s="25">
        <f t="shared" si="14"/>
        <v>115.08527109153282</v>
      </c>
    </row>
    <row r="36" spans="1:19">
      <c r="A36">
        <v>28</v>
      </c>
      <c r="B36" s="18">
        <f t="shared" si="0"/>
        <v>0.48869219055841229</v>
      </c>
      <c r="C36" s="19">
        <f t="shared" si="15"/>
        <v>26.615320672631427</v>
      </c>
      <c r="D36" s="20">
        <f t="shared" si="1"/>
        <v>26.543987036752</v>
      </c>
      <c r="E36" s="21">
        <f t="shared" si="2"/>
        <v>26.50513093204745</v>
      </c>
      <c r="F36" s="22">
        <f t="shared" si="3"/>
        <v>26.433991959501967</v>
      </c>
      <c r="G36" s="23">
        <f t="shared" si="4"/>
        <v>26.356528955211942</v>
      </c>
      <c r="H36" s="24">
        <f t="shared" si="5"/>
        <v>26.27921489304309</v>
      </c>
      <c r="I36" s="25">
        <f t="shared" si="6"/>
        <v>26.099392166937193</v>
      </c>
      <c r="K36">
        <v>28</v>
      </c>
      <c r="L36" s="18">
        <f t="shared" si="16"/>
        <v>0.48869219055841229</v>
      </c>
      <c r="M36" s="26">
        <f t="shared" si="8"/>
        <v>112.07701899105287</v>
      </c>
      <c r="N36" s="20">
        <f t="shared" si="9"/>
        <v>112.18401944487204</v>
      </c>
      <c r="O36" s="21">
        <f t="shared" si="10"/>
        <v>112.24230360192881</v>
      </c>
      <c r="P36" s="22">
        <f t="shared" si="11"/>
        <v>112.34901206074704</v>
      </c>
      <c r="Q36" s="23">
        <f t="shared" si="12"/>
        <v>112.46520656718209</v>
      </c>
      <c r="R36" s="24">
        <f t="shared" si="13"/>
        <v>112.58117766043536</v>
      </c>
      <c r="S36" s="25">
        <f t="shared" si="14"/>
        <v>112.8509117495942</v>
      </c>
    </row>
    <row r="37" spans="1:19">
      <c r="A37">
        <v>29</v>
      </c>
      <c r="B37" s="18">
        <f t="shared" si="0"/>
        <v>0.50614548307835561</v>
      </c>
      <c r="C37" s="19">
        <f t="shared" si="15"/>
        <v>27.444416638337032</v>
      </c>
      <c r="D37" s="20">
        <f t="shared" si="1"/>
        <v>27.370402771836055</v>
      </c>
      <c r="E37" s="21">
        <f t="shared" si="2"/>
        <v>27.330086999658235</v>
      </c>
      <c r="F37" s="22">
        <f t="shared" si="3"/>
        <v>27.256276132406839</v>
      </c>
      <c r="G37" s="23">
        <f t="shared" si="4"/>
        <v>27.175904460079835</v>
      </c>
      <c r="H37" s="24">
        <f t="shared" si="5"/>
        <v>27.095688100918082</v>
      </c>
      <c r="I37" s="25">
        <f t="shared" si="6"/>
        <v>26.909118001339024</v>
      </c>
      <c r="K37">
        <v>29</v>
      </c>
      <c r="L37" s="18">
        <f t="shared" si="16"/>
        <v>0.50614548307835561</v>
      </c>
      <c r="M37" s="26">
        <f t="shared" si="8"/>
        <v>109.83337504249448</v>
      </c>
      <c r="N37" s="20">
        <f t="shared" si="9"/>
        <v>109.94439584224591</v>
      </c>
      <c r="O37" s="21">
        <f t="shared" si="10"/>
        <v>110.00486950051263</v>
      </c>
      <c r="P37" s="22">
        <f t="shared" si="11"/>
        <v>110.11558580138976</v>
      </c>
      <c r="Q37" s="23">
        <f t="shared" si="12"/>
        <v>110.23614330988026</v>
      </c>
      <c r="R37" s="24">
        <f t="shared" si="13"/>
        <v>110.35646784862288</v>
      </c>
      <c r="S37" s="25">
        <f t="shared" si="14"/>
        <v>110.63632299799147</v>
      </c>
    </row>
    <row r="38" spans="1:19">
      <c r="A38">
        <v>30</v>
      </c>
      <c r="B38" s="18">
        <f t="shared" si="0"/>
        <v>0.52359877559829882</v>
      </c>
      <c r="C38" s="19">
        <f t="shared" si="15"/>
        <v>28.259800087434073</v>
      </c>
      <c r="D38" s="20">
        <f t="shared" si="1"/>
        <v>28.18309320185017</v>
      </c>
      <c r="E38" s="21">
        <f t="shared" si="2"/>
        <v>28.141310828672246</v>
      </c>
      <c r="F38" s="22">
        <f t="shared" si="3"/>
        <v>28.064815431850477</v>
      </c>
      <c r="G38" s="23">
        <f t="shared" si="4"/>
        <v>27.981521420458279</v>
      </c>
      <c r="H38" s="24">
        <f t="shared" si="5"/>
        <v>27.898389209876228</v>
      </c>
      <c r="I38" s="25">
        <f t="shared" si="6"/>
        <v>27.705040558987761</v>
      </c>
      <c r="K38">
        <v>30</v>
      </c>
      <c r="L38" s="18">
        <f t="shared" si="16"/>
        <v>0.52359877559829882</v>
      </c>
      <c r="M38" s="26">
        <f t="shared" si="8"/>
        <v>107.6102998688489</v>
      </c>
      <c r="N38" s="20">
        <f t="shared" si="9"/>
        <v>107.72536019722475</v>
      </c>
      <c r="O38" s="21">
        <f t="shared" si="10"/>
        <v>107.78803375699164</v>
      </c>
      <c r="P38" s="22">
        <f t="shared" si="11"/>
        <v>107.90277685222429</v>
      </c>
      <c r="Q38" s="23">
        <f t="shared" si="12"/>
        <v>108.0277178693126</v>
      </c>
      <c r="R38" s="24">
        <f t="shared" si="13"/>
        <v>108.15241618518564</v>
      </c>
      <c r="S38" s="25">
        <f t="shared" si="14"/>
        <v>108.44243916151834</v>
      </c>
    </row>
    <row r="39" spans="1:19">
      <c r="A39">
        <v>31</v>
      </c>
      <c r="B39" s="18">
        <f t="shared" si="0"/>
        <v>0.54105206811824214</v>
      </c>
      <c r="C39" s="19">
        <f t="shared" si="15"/>
        <v>29.060832296829446</v>
      </c>
      <c r="D39" s="20">
        <f t="shared" si="1"/>
        <v>28.981419411217772</v>
      </c>
      <c r="E39" s="21">
        <f t="shared" si="2"/>
        <v>28.93816340027827</v>
      </c>
      <c r="F39" s="22">
        <f t="shared" si="3"/>
        <v>28.858970652955293</v>
      </c>
      <c r="G39" s="23">
        <f t="shared" si="4"/>
        <v>28.772740433172146</v>
      </c>
      <c r="H39" s="24">
        <f t="shared" si="5"/>
        <v>28.686678623289041</v>
      </c>
      <c r="I39" s="25">
        <f t="shared" si="6"/>
        <v>28.486519810454197</v>
      </c>
      <c r="K39">
        <v>31</v>
      </c>
      <c r="L39" s="18">
        <f t="shared" si="16"/>
        <v>0.54105206811824214</v>
      </c>
      <c r="M39" s="26">
        <f t="shared" si="8"/>
        <v>105.40875155475584</v>
      </c>
      <c r="N39" s="20">
        <f t="shared" si="9"/>
        <v>105.52787088317334</v>
      </c>
      <c r="O39" s="21">
        <f t="shared" si="10"/>
        <v>105.59275489958259</v>
      </c>
      <c r="P39" s="22">
        <f t="shared" si="11"/>
        <v>105.71154402056706</v>
      </c>
      <c r="Q39" s="23">
        <f t="shared" si="12"/>
        <v>105.84088935024178</v>
      </c>
      <c r="R39" s="24">
        <f t="shared" si="13"/>
        <v>105.96998206506643</v>
      </c>
      <c r="S39" s="25">
        <f t="shared" si="14"/>
        <v>106.2702202843187</v>
      </c>
    </row>
    <row r="40" spans="1:19">
      <c r="A40">
        <v>32</v>
      </c>
      <c r="B40" s="18">
        <f t="shared" ref="B40:B71" si="17">A40 *PI() / 180</f>
        <v>0.55850536063818546</v>
      </c>
      <c r="C40" s="19">
        <f t="shared" ref="C40:C71" si="18">4*ASIN(SIN(A40*PI()/180)/$C$4)*180/PI() - 2*A40</f>
        <v>29.846856365548106</v>
      </c>
      <c r="D40" s="20">
        <f t="shared" ref="D40:D71" si="19">4*ASIN(SIN(A40*PI()/180)/$D$4)*180/PI() - 2*A40</f>
        <v>29.764724343633802</v>
      </c>
      <c r="E40" s="21">
        <f t="shared" ref="E40:E71" si="20">4*ASIN(SIN(A40*PI()/180)/$E$4)*180/PI() - 2*A40</f>
        <v>29.719987575213324</v>
      </c>
      <c r="F40" s="22">
        <f t="shared" ref="F40:F71" si="21">4*ASIN(SIN(A40*PI()/180)/$F$4)*180/PI() - 2*A40</f>
        <v>29.638084507585702</v>
      </c>
      <c r="G40" s="23">
        <f t="shared" ref="G40:G71" si="22">4*ASIN(SIN(A40*PI()/180)/$G$4)*180/PI() - 2*A40</f>
        <v>29.548904052390881</v>
      </c>
      <c r="H40" s="24">
        <f t="shared" ref="H40:H71" si="23">4*ASIN(SIN(A40*PI()/180)/$H$4)*180/PI() - 2*A40</f>
        <v>29.459898742502062</v>
      </c>
      <c r="I40" s="25">
        <f t="shared" ref="I40:I71" si="24">4*ASIN(SIN(A40*PI()/180)/$I$4)*180/PI() - 2*A40</f>
        <v>29.252897819180063</v>
      </c>
      <c r="K40">
        <v>32</v>
      </c>
      <c r="L40" s="18">
        <f t="shared" si="16"/>
        <v>0.55850536063818546</v>
      </c>
      <c r="M40" s="26">
        <f t="shared" ref="M40:M71" si="25">180 - 6*ASIN(SIN(A40*PI()/180)/$M$4)*180/PI() + 2*A40</f>
        <v>103.22971545167783</v>
      </c>
      <c r="N40" s="20">
        <f t="shared" ref="N40:N71" si="26">180 - 6*ASIN(SIN(A40*PI()/180)/$N$4)*180/PI() + 2*A40</f>
        <v>103.3529134845493</v>
      </c>
      <c r="O40" s="21">
        <f t="shared" ref="O40:O71" si="27">180 - 6*ASIN(SIN(A40*PI()/180)/$O$4)*180/PI() + 2*A40</f>
        <v>103.42001863718002</v>
      </c>
      <c r="P40" s="22">
        <f t="shared" ref="P40:P71" si="28">180 - 6*ASIN(SIN(A40*PI()/180)/$P$4)*180/PI() + 2*A40</f>
        <v>103.54287323862144</v>
      </c>
      <c r="Q40" s="23">
        <f t="shared" ref="Q40:Q71" si="29">180 - 6*ASIN(SIN(A40*PI()/180)/$Q$4)*180/PI() + 2*A40</f>
        <v>103.67664392141367</v>
      </c>
      <c r="R40" s="24">
        <f t="shared" ref="R40:R71" si="30">180 - 6*ASIN(SIN(A40*PI()/180)/$R$4)*180/PI() + 2*A40</f>
        <v>103.8101518862469</v>
      </c>
      <c r="S40" s="25">
        <f t="shared" ref="S40:S71" si="31">180 - 6*ASIN(SIN(A40*PI()/180)/$S$4)*180/PI() + 2*A40</f>
        <v>104.12065327122991</v>
      </c>
    </row>
    <row r="41" spans="1:19">
      <c r="A41">
        <v>33</v>
      </c>
      <c r="B41" s="18">
        <f t="shared" si="17"/>
        <v>0.57595865315812877</v>
      </c>
      <c r="C41" s="19">
        <f t="shared" si="18"/>
        <v>30.617196419476059</v>
      </c>
      <c r="D41" s="20">
        <f t="shared" si="19"/>
        <v>30.532332010242982</v>
      </c>
      <c r="E41" s="21">
        <f t="shared" si="20"/>
        <v>30.486107303810712</v>
      </c>
      <c r="F41" s="22">
        <f t="shared" si="21"/>
        <v>30.401480837815782</v>
      </c>
      <c r="G41" s="23">
        <f t="shared" si="22"/>
        <v>30.30933600681513</v>
      </c>
      <c r="H41" s="24">
        <f t="shared" si="23"/>
        <v>30.217373187728512</v>
      </c>
      <c r="I41" s="25">
        <f t="shared" si="24"/>
        <v>30.003497970973655</v>
      </c>
      <c r="K41">
        <v>33</v>
      </c>
      <c r="L41" s="18">
        <f t="shared" si="16"/>
        <v>0.57595865315812877</v>
      </c>
      <c r="M41" s="26">
        <f t="shared" si="25"/>
        <v>101.07420537078593</v>
      </c>
      <c r="N41" s="20">
        <f t="shared" si="26"/>
        <v>101.20150198463554</v>
      </c>
      <c r="O41" s="21">
        <f t="shared" si="27"/>
        <v>101.27083904428395</v>
      </c>
      <c r="P41" s="22">
        <f t="shared" si="28"/>
        <v>101.39777874327632</v>
      </c>
      <c r="Q41" s="23">
        <f t="shared" si="29"/>
        <v>101.53599598977732</v>
      </c>
      <c r="R41" s="24">
        <f t="shared" si="30"/>
        <v>101.67394021840724</v>
      </c>
      <c r="S41" s="25">
        <f t="shared" si="31"/>
        <v>101.99475304353953</v>
      </c>
    </row>
    <row r="42" spans="1:19">
      <c r="A42">
        <v>34</v>
      </c>
      <c r="B42" s="18">
        <f t="shared" si="17"/>
        <v>0.59341194567807209</v>
      </c>
      <c r="C42" s="19">
        <f t="shared" si="18"/>
        <v>31.371156806143176</v>
      </c>
      <c r="D42" s="20">
        <f t="shared" si="19"/>
        <v>31.283546688117227</v>
      </c>
      <c r="E42" s="21">
        <f t="shared" si="20"/>
        <v>31.235826826487255</v>
      </c>
      <c r="F42" s="22">
        <f t="shared" si="21"/>
        <v>31.148463820092715</v>
      </c>
      <c r="G42" s="23">
        <f t="shared" si="22"/>
        <v>31.053340407836856</v>
      </c>
      <c r="H42" s="24">
        <f t="shared" si="23"/>
        <v>30.958406010191723</v>
      </c>
      <c r="I42" s="25">
        <f t="shared" si="24"/>
        <v>30.737624195389486</v>
      </c>
      <c r="K42">
        <v>34</v>
      </c>
      <c r="L42" s="18">
        <f t="shared" si="16"/>
        <v>0.59341194567807209</v>
      </c>
      <c r="M42" s="26">
        <f t="shared" si="25"/>
        <v>98.943264790785236</v>
      </c>
      <c r="N42" s="20">
        <f t="shared" si="26"/>
        <v>99.074679967824153</v>
      </c>
      <c r="O42" s="21">
        <f t="shared" si="27"/>
        <v>99.146259760269089</v>
      </c>
      <c r="P42" s="22">
        <f t="shared" si="28"/>
        <v>99.277304269860934</v>
      </c>
      <c r="Q42" s="23">
        <f t="shared" si="29"/>
        <v>99.419989388244716</v>
      </c>
      <c r="R42" s="24">
        <f t="shared" si="30"/>
        <v>99.562390984712408</v>
      </c>
      <c r="S42" s="25">
        <f t="shared" si="31"/>
        <v>99.893563706915785</v>
      </c>
    </row>
    <row r="43" spans="1:19">
      <c r="A43">
        <v>35</v>
      </c>
      <c r="B43" s="18">
        <f t="shared" si="17"/>
        <v>0.6108652381980153</v>
      </c>
      <c r="C43" s="19">
        <f t="shared" si="18"/>
        <v>32.108021281265295</v>
      </c>
      <c r="D43" s="20">
        <f t="shared" si="19"/>
        <v>32.017652110764416</v>
      </c>
      <c r="E43" s="21">
        <f t="shared" si="20"/>
        <v>31.968429866410133</v>
      </c>
      <c r="F43" s="22">
        <f t="shared" si="21"/>
        <v>31.878317161848642</v>
      </c>
      <c r="G43" s="23">
        <f t="shared" si="22"/>
        <v>31.780200950439152</v>
      </c>
      <c r="H43" s="24">
        <f t="shared" si="23"/>
        <v>31.68228089729638</v>
      </c>
      <c r="I43" s="25">
        <f t="shared" si="24"/>
        <v>31.454560180800854</v>
      </c>
      <c r="K43">
        <v>35</v>
      </c>
      <c r="L43" s="18">
        <f t="shared" si="16"/>
        <v>0.6108652381980153</v>
      </c>
      <c r="M43" s="26">
        <f t="shared" si="25"/>
        <v>96.837968078102051</v>
      </c>
      <c r="N43" s="20">
        <f t="shared" si="26"/>
        <v>96.973521833853368</v>
      </c>
      <c r="O43" s="21">
        <f t="shared" si="27"/>
        <v>97.047355200384828</v>
      </c>
      <c r="P43" s="22">
        <f t="shared" si="28"/>
        <v>97.182524257227016</v>
      </c>
      <c r="Q43" s="23">
        <f t="shared" si="29"/>
        <v>97.329698574341251</v>
      </c>
      <c r="R43" s="24">
        <f t="shared" si="30"/>
        <v>97.476578654055459</v>
      </c>
      <c r="S43" s="25">
        <f t="shared" si="31"/>
        <v>97.818159728798719</v>
      </c>
    </row>
    <row r="44" spans="1:19">
      <c r="A44">
        <v>36</v>
      </c>
      <c r="B44" s="18">
        <f t="shared" si="17"/>
        <v>0.62831853071795862</v>
      </c>
      <c r="C44" s="19">
        <f t="shared" si="18"/>
        <v>32.827052189119186</v>
      </c>
      <c r="D44" s="20">
        <f t="shared" si="19"/>
        <v>32.733910652754503</v>
      </c>
      <c r="E44" s="21">
        <f t="shared" si="20"/>
        <v>32.683178816434776</v>
      </c>
      <c r="F44" s="22">
        <f t="shared" si="21"/>
        <v>32.590303292664927</v>
      </c>
      <c r="G44" s="23">
        <f t="shared" si="22"/>
        <v>32.489180108952212</v>
      </c>
      <c r="H44" s="24">
        <f t="shared" si="23"/>
        <v>32.388260372956836</v>
      </c>
      <c r="I44" s="25">
        <f t="shared" si="24"/>
        <v>32.15356858532293</v>
      </c>
      <c r="K44">
        <v>36</v>
      </c>
      <c r="L44" s="18">
        <f t="shared" si="16"/>
        <v>0.62831853071795862</v>
      </c>
      <c r="M44" s="26">
        <f t="shared" si="25"/>
        <v>94.759421716321185</v>
      </c>
      <c r="N44" s="20">
        <f t="shared" si="26"/>
        <v>94.899134020868246</v>
      </c>
      <c r="O44" s="21">
        <f t="shared" si="27"/>
        <v>94.975231775347822</v>
      </c>
      <c r="P44" s="22">
        <f t="shared" si="28"/>
        <v>95.114545061002616</v>
      </c>
      <c r="Q44" s="23">
        <f t="shared" si="29"/>
        <v>95.266229836571682</v>
      </c>
      <c r="R44" s="24">
        <f t="shared" si="30"/>
        <v>95.417609440564746</v>
      </c>
      <c r="S44" s="25">
        <f t="shared" si="31"/>
        <v>95.769647122015613</v>
      </c>
    </row>
    <row r="45" spans="1:19">
      <c r="A45">
        <v>37</v>
      </c>
      <c r="B45" s="18">
        <f t="shared" si="17"/>
        <v>0.64577182323790194</v>
      </c>
      <c r="C45" s="19">
        <f t="shared" si="18"/>
        <v>33.527489639216896</v>
      </c>
      <c r="D45" s="20">
        <f t="shared" si="19"/>
        <v>33.43156251094085</v>
      </c>
      <c r="E45" s="21">
        <f t="shared" si="20"/>
        <v>33.379313922798602</v>
      </c>
      <c r="F45" s="22">
        <f t="shared" si="21"/>
        <v>33.283662552483747</v>
      </c>
      <c r="G45" s="23">
        <f t="shared" si="22"/>
        <v>33.17951833017284</v>
      </c>
      <c r="H45" s="24">
        <f t="shared" si="23"/>
        <v>33.075584995602441</v>
      </c>
      <c r="I45" s="25">
        <f t="shared" si="24"/>
        <v>32.83389024613173</v>
      </c>
      <c r="K45">
        <v>37</v>
      </c>
      <c r="L45" s="18">
        <f t="shared" si="16"/>
        <v>0.64577182323790194</v>
      </c>
      <c r="M45" s="26">
        <f t="shared" si="25"/>
        <v>92.708765541174671</v>
      </c>
      <c r="N45" s="20">
        <f t="shared" si="26"/>
        <v>92.852656233588704</v>
      </c>
      <c r="O45" s="21">
        <f t="shared" si="27"/>
        <v>92.93102911580209</v>
      </c>
      <c r="P45" s="22">
        <f t="shared" si="28"/>
        <v>93.074506171274351</v>
      </c>
      <c r="Q45" s="23">
        <f t="shared" si="29"/>
        <v>93.230722504740754</v>
      </c>
      <c r="R45" s="24">
        <f t="shared" si="30"/>
        <v>93.386622506596353</v>
      </c>
      <c r="S45" s="25">
        <f t="shared" si="31"/>
        <v>93.749164630802397</v>
      </c>
    </row>
    <row r="46" spans="1:19">
      <c r="A46">
        <v>38</v>
      </c>
      <c r="B46" s="18">
        <f t="shared" si="17"/>
        <v>0.66322511575784515</v>
      </c>
      <c r="C46" s="19">
        <f t="shared" si="18"/>
        <v>34.208550682180643</v>
      </c>
      <c r="D46" s="20">
        <f t="shared" si="19"/>
        <v>34.109824885188857</v>
      </c>
      <c r="E46" s="21">
        <f t="shared" si="20"/>
        <v>34.056052468488147</v>
      </c>
      <c r="F46" s="22">
        <f t="shared" si="21"/>
        <v>33.957612379796089</v>
      </c>
      <c r="G46" s="23">
        <f t="shared" si="22"/>
        <v>33.85043322678662</v>
      </c>
      <c r="H46" s="24">
        <f t="shared" si="23"/>
        <v>33.74347255680884</v>
      </c>
      <c r="I46" s="25">
        <f t="shared" si="24"/>
        <v>33.494743390152195</v>
      </c>
      <c r="K46">
        <v>38</v>
      </c>
      <c r="L46" s="18">
        <f t="shared" si="16"/>
        <v>0.66322511575784515</v>
      </c>
      <c r="M46" s="26">
        <f t="shared" si="25"/>
        <v>90.687173976729071</v>
      </c>
      <c r="N46" s="20">
        <f t="shared" si="26"/>
        <v>90.835262672216686</v>
      </c>
      <c r="O46" s="21">
        <f t="shared" si="27"/>
        <v>90.915921297267801</v>
      </c>
      <c r="P46" s="22">
        <f t="shared" si="28"/>
        <v>91.063581430305874</v>
      </c>
      <c r="Q46" s="23">
        <f t="shared" si="29"/>
        <v>91.224350159820062</v>
      </c>
      <c r="R46" s="24">
        <f t="shared" si="30"/>
        <v>91.384791164786748</v>
      </c>
      <c r="S46" s="25">
        <f t="shared" si="31"/>
        <v>91.757884914771722</v>
      </c>
    </row>
    <row r="47" spans="1:19">
      <c r="A47">
        <v>39</v>
      </c>
      <c r="B47" s="18">
        <f t="shared" si="17"/>
        <v>0.68067840827778847</v>
      </c>
      <c r="C47" s="19">
        <f t="shared" si="18"/>
        <v>34.869428488200612</v>
      </c>
      <c r="D47" s="20">
        <f t="shared" si="19"/>
        <v>34.767891162002968</v>
      </c>
      <c r="E47" s="21">
        <f t="shared" si="20"/>
        <v>34.712587959675332</v>
      </c>
      <c r="F47" s="22">
        <f t="shared" si="21"/>
        <v>34.611346503209518</v>
      </c>
      <c r="G47" s="23">
        <f t="shared" si="22"/>
        <v>34.501118774506736</v>
      </c>
      <c r="H47" s="24">
        <f t="shared" si="23"/>
        <v>34.391117283978545</v>
      </c>
      <c r="I47" s="25">
        <f t="shared" si="24"/>
        <v>34.135322849558506</v>
      </c>
      <c r="K47">
        <v>39</v>
      </c>
      <c r="L47" s="18">
        <f t="shared" si="16"/>
        <v>0.68067840827778847</v>
      </c>
      <c r="M47" s="26">
        <f t="shared" si="25"/>
        <v>88.695857267699068</v>
      </c>
      <c r="N47" s="20">
        <f t="shared" si="26"/>
        <v>88.848163256995576</v>
      </c>
      <c r="O47" s="21">
        <f t="shared" si="27"/>
        <v>88.931118060487023</v>
      </c>
      <c r="P47" s="22">
        <f t="shared" si="28"/>
        <v>89.082980245185723</v>
      </c>
      <c r="Q47" s="23">
        <f t="shared" si="29"/>
        <v>89.248321838239889</v>
      </c>
      <c r="R47" s="24">
        <f t="shared" si="30"/>
        <v>89.413324074032175</v>
      </c>
      <c r="S47" s="25">
        <f t="shared" si="31"/>
        <v>89.79701572566222</v>
      </c>
    </row>
    <row r="48" spans="1:19">
      <c r="A48">
        <v>40</v>
      </c>
      <c r="B48" s="18">
        <f t="shared" si="17"/>
        <v>0.69813170079773179</v>
      </c>
      <c r="C48" s="19">
        <f t="shared" si="18"/>
        <v>35.509291531984616</v>
      </c>
      <c r="D48" s="20">
        <f t="shared" si="19"/>
        <v>35.404930104968713</v>
      </c>
      <c r="E48" s="21">
        <f t="shared" si="20"/>
        <v>35.348089319143725</v>
      </c>
      <c r="F48" s="22">
        <f t="shared" si="21"/>
        <v>35.244034140324715</v>
      </c>
      <c r="G48" s="23">
        <f t="shared" si="22"/>
        <v>35.13074451686434</v>
      </c>
      <c r="H48" s="24">
        <f t="shared" si="23"/>
        <v>35.017689051013079</v>
      </c>
      <c r="I48" s="25">
        <f t="shared" si="24"/>
        <v>34.754799286044388</v>
      </c>
      <c r="K48">
        <v>40</v>
      </c>
      <c r="L48" s="18">
        <f t="shared" si="16"/>
        <v>0.69813170079773179</v>
      </c>
      <c r="M48" s="26">
        <f t="shared" si="25"/>
        <v>86.736062702023077</v>
      </c>
      <c r="N48" s="20">
        <f t="shared" si="26"/>
        <v>86.892604842546945</v>
      </c>
      <c r="O48" s="21">
        <f t="shared" si="27"/>
        <v>86.977866021284399</v>
      </c>
      <c r="P48" s="22">
        <f t="shared" si="28"/>
        <v>87.133948789512971</v>
      </c>
      <c r="Q48" s="23">
        <f t="shared" si="29"/>
        <v>87.303883224703497</v>
      </c>
      <c r="R48" s="24">
        <f t="shared" si="30"/>
        <v>87.473466423480374</v>
      </c>
      <c r="S48" s="25">
        <f t="shared" si="31"/>
        <v>87.86780107093341</v>
      </c>
    </row>
    <row r="49" spans="1:19">
      <c r="A49">
        <v>41</v>
      </c>
      <c r="B49" s="18">
        <f t="shared" si="17"/>
        <v>0.715584993317675</v>
      </c>
      <c r="C49" s="19">
        <f t="shared" si="18"/>
        <v>36.127282788687737</v>
      </c>
      <c r="D49" s="20">
        <f t="shared" si="19"/>
        <v>36.020085056503646</v>
      </c>
      <c r="E49" s="21">
        <f t="shared" si="20"/>
        <v>35.961700091201635</v>
      </c>
      <c r="F49" s="22">
        <f t="shared" si="21"/>
        <v>35.854819208421347</v>
      </c>
      <c r="G49" s="23">
        <f t="shared" si="22"/>
        <v>35.738454782157348</v>
      </c>
      <c r="H49" s="24">
        <f t="shared" si="23"/>
        <v>35.622332601488068</v>
      </c>
      <c r="I49" s="25">
        <f>4*ASIN(SIN(A49*PI()/180)/$I$4)*180/PI() - 2*A49</f>
        <v>35.352318428384265</v>
      </c>
      <c r="K49">
        <v>41</v>
      </c>
      <c r="L49" s="18">
        <f t="shared" si="16"/>
        <v>0.715584993317675</v>
      </c>
      <c r="M49" s="26">
        <f t="shared" si="25"/>
        <v>84.809075816968374</v>
      </c>
      <c r="N49" s="20">
        <f t="shared" si="26"/>
        <v>84.969872415244538</v>
      </c>
      <c r="O49" s="21">
        <f t="shared" si="27"/>
        <v>85.057449863197519</v>
      </c>
      <c r="P49" s="22">
        <f t="shared" si="28"/>
        <v>85.217771187368015</v>
      </c>
      <c r="Q49" s="23">
        <f t="shared" si="29"/>
        <v>85.392317826763986</v>
      </c>
      <c r="R49" s="24">
        <f t="shared" si="30"/>
        <v>85.566501097767883</v>
      </c>
      <c r="S49" s="25">
        <f t="shared" si="31"/>
        <v>85.971522357423595</v>
      </c>
    </row>
    <row r="50" spans="1:19">
      <c r="A50">
        <v>42</v>
      </c>
      <c r="B50" s="18">
        <f t="shared" si="17"/>
        <v>0.73303828583761843</v>
      </c>
      <c r="C50" s="19">
        <f t="shared" si="18"/>
        <v>36.722518945940692</v>
      </c>
      <c r="D50" s="20">
        <f t="shared" si="19"/>
        <v>36.612473156037325</v>
      </c>
      <c r="E50" s="21">
        <f t="shared" si="20"/>
        <v>36.552537663203125</v>
      </c>
      <c r="F50" s="22">
        <f t="shared" si="21"/>
        <v>36.442819552077651</v>
      </c>
      <c r="G50" s="23">
        <f t="shared" si="22"/>
        <v>36.323367917683157</v>
      </c>
      <c r="H50" s="24">
        <f t="shared" si="23"/>
        <v>36.204166789457958</v>
      </c>
      <c r="I50" s="25">
        <f t="shared" si="24"/>
        <v>35.927000328415744</v>
      </c>
      <c r="K50">
        <v>42</v>
      </c>
      <c r="L50" s="18">
        <f t="shared" si="16"/>
        <v>0.73303828583761843</v>
      </c>
      <c r="M50" s="26">
        <f t="shared" si="25"/>
        <v>82.91622158108899</v>
      </c>
      <c r="N50" s="20">
        <f t="shared" si="26"/>
        <v>83.081290265944006</v>
      </c>
      <c r="O50" s="21">
        <f t="shared" si="27"/>
        <v>83.171193505195305</v>
      </c>
      <c r="P50" s="22">
        <f t="shared" si="28"/>
        <v>83.335770671883552</v>
      </c>
      <c r="Q50" s="23">
        <f t="shared" si="29"/>
        <v>83.514948123475278</v>
      </c>
      <c r="R50" s="24">
        <f t="shared" si="30"/>
        <v>83.69374981581305</v>
      </c>
      <c r="S50" s="25">
        <f t="shared" si="31"/>
        <v>84.109499507376398</v>
      </c>
    </row>
    <row r="51" spans="1:19">
      <c r="A51">
        <v>43</v>
      </c>
      <c r="B51" s="18">
        <f t="shared" si="17"/>
        <v>0.75049157835756164</v>
      </c>
      <c r="C51" s="19">
        <f t="shared" si="18"/>
        <v>37.294089637778512</v>
      </c>
      <c r="D51" s="20">
        <f t="shared" si="19"/>
        <v>37.181184580423079</v>
      </c>
      <c r="E51" s="21">
        <f t="shared" si="20"/>
        <v>37.119692509478881</v>
      </c>
      <c r="F51" s="22">
        <f t="shared" si="21"/>
        <v>37.007126193523405</v>
      </c>
      <c r="G51" s="23">
        <f t="shared" si="22"/>
        <v>36.884575547054098</v>
      </c>
      <c r="H51" s="24">
        <f t="shared" si="23"/>
        <v>36.76228384368838</v>
      </c>
      <c r="I51" s="25">
        <f t="shared" si="24"/>
        <v>36.47793864123453</v>
      </c>
      <c r="K51">
        <v>43</v>
      </c>
      <c r="L51" s="18">
        <f t="shared" si="16"/>
        <v>0.75049157835756164</v>
      </c>
      <c r="M51" s="26">
        <f t="shared" si="25"/>
        <v>81.058865543332217</v>
      </c>
      <c r="N51" s="20">
        <f t="shared" si="26"/>
        <v>81.228223129365375</v>
      </c>
      <c r="O51" s="21">
        <f t="shared" si="27"/>
        <v>81.320461235781693</v>
      </c>
      <c r="P51" s="22">
        <f t="shared" si="28"/>
        <v>81.489310709714886</v>
      </c>
      <c r="Q51" s="23">
        <f t="shared" si="29"/>
        <v>81.673136679418832</v>
      </c>
      <c r="R51" s="24">
        <f t="shared" si="30"/>
        <v>81.856574234467445</v>
      </c>
      <c r="S51" s="25">
        <f t="shared" si="31"/>
        <v>82.283092038148197</v>
      </c>
    </row>
    <row r="52" spans="1:19">
      <c r="A52">
        <v>44</v>
      </c>
      <c r="B52" s="18">
        <f t="shared" si="17"/>
        <v>0.76794487087750496</v>
      </c>
      <c r="C52" s="19">
        <f t="shared" si="18"/>
        <v>37.841056707012953</v>
      </c>
      <c r="D52" s="20">
        <f t="shared" si="19"/>
        <v>37.725281813117377</v>
      </c>
      <c r="E52" s="21">
        <f t="shared" si="20"/>
        <v>37.662227464211199</v>
      </c>
      <c r="F52" s="22">
        <f t="shared" si="21"/>
        <v>37.546802612256656</v>
      </c>
      <c r="G52" s="23">
        <f t="shared" si="22"/>
        <v>37.421141857119281</v>
      </c>
      <c r="H52" s="24">
        <f t="shared" si="23"/>
        <v>37.295748661832732</v>
      </c>
      <c r="I52" s="25">
        <f t="shared" si="24"/>
        <v>37.004199936103603</v>
      </c>
      <c r="K52">
        <v>44</v>
      </c>
      <c r="L52" s="18">
        <f t="shared" si="16"/>
        <v>0.76794487087750496</v>
      </c>
      <c r="M52" s="26">
        <f t="shared" si="25"/>
        <v>79.238414939480577</v>
      </c>
      <c r="N52" s="20">
        <f t="shared" si="26"/>
        <v>79.412077280323984</v>
      </c>
      <c r="O52" s="21">
        <f t="shared" si="27"/>
        <v>79.506658803683223</v>
      </c>
      <c r="P52" s="22">
        <f t="shared" si="28"/>
        <v>79.679796081615024</v>
      </c>
      <c r="Q52" s="23">
        <f t="shared" si="29"/>
        <v>79.8682872143211</v>
      </c>
      <c r="R52" s="24">
        <f t="shared" si="30"/>
        <v>80.056377007250887</v>
      </c>
      <c r="S52" s="25">
        <f t="shared" si="31"/>
        <v>80.493700095844588</v>
      </c>
    </row>
    <row r="53" spans="1:19">
      <c r="A53">
        <v>45</v>
      </c>
      <c r="B53" s="18">
        <f t="shared" si="17"/>
        <v>0.78539816339744828</v>
      </c>
      <c r="C53" s="19">
        <f t="shared" si="18"/>
        <v>38.362453503382085</v>
      </c>
      <c r="D53" s="20">
        <f t="shared" si="19"/>
        <v>38.243798949454259</v>
      </c>
      <c r="E53" s="21">
        <f t="shared" si="20"/>
        <v>38.17917703057401</v>
      </c>
      <c r="F53" s="22">
        <f t="shared" si="21"/>
        <v>38.06088406123385</v>
      </c>
      <c r="G53" s="23">
        <f t="shared" si="22"/>
        <v>37.932102921792591</v>
      </c>
      <c r="H53" s="24">
        <f t="shared" si="23"/>
        <v>37.803598141841718</v>
      </c>
      <c r="I53" s="25">
        <f t="shared" si="24"/>
        <v>37.504823045337346</v>
      </c>
      <c r="K53">
        <v>45</v>
      </c>
      <c r="L53" s="18">
        <f t="shared" si="16"/>
        <v>0.78539816339744828</v>
      </c>
      <c r="M53" s="26">
        <f t="shared" si="25"/>
        <v>77.456319744926873</v>
      </c>
      <c r="N53" s="20">
        <f t="shared" si="26"/>
        <v>77.634301575818597</v>
      </c>
      <c r="O53" s="21">
        <f t="shared" si="27"/>
        <v>77.731234454138985</v>
      </c>
      <c r="P53" s="22">
        <f t="shared" si="28"/>
        <v>77.90867390814924</v>
      </c>
      <c r="Q53" s="23">
        <f t="shared" si="29"/>
        <v>78.101845617311142</v>
      </c>
      <c r="R53" s="24">
        <f t="shared" si="30"/>
        <v>78.294602787237409</v>
      </c>
      <c r="S53" s="25">
        <f t="shared" si="31"/>
        <v>78.742765431993973</v>
      </c>
    </row>
    <row r="54" spans="1:19">
      <c r="A54">
        <v>46</v>
      </c>
      <c r="B54" s="18">
        <f t="shared" si="17"/>
        <v>0.80285145591739149</v>
      </c>
      <c r="C54" s="19">
        <f t="shared" si="18"/>
        <v>38.857284225663165</v>
      </c>
      <c r="D54" s="20">
        <f t="shared" si="19"/>
        <v>38.735741046183477</v>
      </c>
      <c r="E54" s="21">
        <f t="shared" si="20"/>
        <v>38.669546734298876</v>
      </c>
      <c r="F54" s="22">
        <f t="shared" si="21"/>
        <v>38.548376927780481</v>
      </c>
      <c r="G54" s="23">
        <f t="shared" si="22"/>
        <v>38.416466070915618</v>
      </c>
      <c r="H54" s="24">
        <f t="shared" si="23"/>
        <v>38.284840558717406</v>
      </c>
      <c r="I54" s="25">
        <f t="shared" si="24"/>
        <v>37.978818459231832</v>
      </c>
      <c r="K54">
        <v>46</v>
      </c>
      <c r="L54" s="18">
        <f t="shared" si="16"/>
        <v>0.80285145591739149</v>
      </c>
      <c r="M54" s="26">
        <f t="shared" si="25"/>
        <v>75.714073661505267</v>
      </c>
      <c r="N54" s="20">
        <f t="shared" si="26"/>
        <v>75.896388430724784</v>
      </c>
      <c r="O54" s="21">
        <f t="shared" si="27"/>
        <v>75.995679898551657</v>
      </c>
      <c r="P54" s="22">
        <f t="shared" si="28"/>
        <v>76.177434608329293</v>
      </c>
      <c r="Q54" s="23">
        <f t="shared" si="29"/>
        <v>76.375300893626587</v>
      </c>
      <c r="R54" s="24">
        <f t="shared" si="30"/>
        <v>76.572739161923892</v>
      </c>
      <c r="S54" s="25">
        <f t="shared" si="31"/>
        <v>77.031772311152253</v>
      </c>
    </row>
    <row r="55" spans="1:19">
      <c r="A55">
        <v>47</v>
      </c>
      <c r="B55" s="18">
        <f t="shared" si="17"/>
        <v>0.82030474843733492</v>
      </c>
      <c r="C55" s="19">
        <f t="shared" si="18"/>
        <v>39.324523316830039</v>
      </c>
      <c r="D55" s="20">
        <f t="shared" si="19"/>
        <v>39.200083524333365</v>
      </c>
      <c r="E55" s="21">
        <f t="shared" si="20"/>
        <v>39.132312530717059</v>
      </c>
      <c r="F55" s="22">
        <f t="shared" si="21"/>
        <v>39.008258148249411</v>
      </c>
      <c r="G55" s="23">
        <f t="shared" si="22"/>
        <v>38.873209313160203</v>
      </c>
      <c r="H55" s="24">
        <f t="shared" si="23"/>
        <v>38.738454995592207</v>
      </c>
      <c r="I55" s="25">
        <f t="shared" si="24"/>
        <v>38.425167775963189</v>
      </c>
      <c r="K55">
        <v>47</v>
      </c>
      <c r="L55" s="18">
        <f t="shared" si="16"/>
        <v>0.82030474843733492</v>
      </c>
      <c r="M55" s="26">
        <f t="shared" si="25"/>
        <v>74.013215024754942</v>
      </c>
      <c r="N55" s="20">
        <f t="shared" si="26"/>
        <v>74.199874713499952</v>
      </c>
      <c r="O55" s="21">
        <f t="shared" si="27"/>
        <v>74.301531203924412</v>
      </c>
      <c r="P55" s="22">
        <f t="shared" si="28"/>
        <v>74.487612777625856</v>
      </c>
      <c r="Q55" s="23">
        <f t="shared" si="29"/>
        <v>74.690186030259696</v>
      </c>
      <c r="R55" s="24">
        <f t="shared" si="30"/>
        <v>74.892317506611676</v>
      </c>
      <c r="S55" s="25">
        <f t="shared" si="31"/>
        <v>75.362248336055217</v>
      </c>
    </row>
    <row r="56" spans="1:19">
      <c r="A56">
        <v>48</v>
      </c>
      <c r="B56" s="18">
        <f t="shared" si="17"/>
        <v>0.83775804095727813</v>
      </c>
      <c r="C56" s="19">
        <f t="shared" si="18"/>
        <v>39.763114922288196</v>
      </c>
      <c r="D56" s="20">
        <f t="shared" si="19"/>
        <v>39.635771635402335</v>
      </c>
      <c r="E56" s="21">
        <f t="shared" si="20"/>
        <v>39.566420275263994</v>
      </c>
      <c r="F56" s="22">
        <f t="shared" si="21"/>
        <v>39.439474686385381</v>
      </c>
      <c r="G56" s="23">
        <f t="shared" si="22"/>
        <v>39.301280822896302</v>
      </c>
      <c r="H56" s="24">
        <f t="shared" si="23"/>
        <v>39.163390839027187</v>
      </c>
      <c r="I56" s="25">
        <f t="shared" si="24"/>
        <v>38.842823216273814</v>
      </c>
      <c r="K56">
        <v>48</v>
      </c>
      <c r="L56" s="18">
        <f t="shared" si="16"/>
        <v>0.83775804095727813</v>
      </c>
      <c r="M56" s="26">
        <f t="shared" si="25"/>
        <v>72.355327616567735</v>
      </c>
      <c r="N56" s="20">
        <f t="shared" si="26"/>
        <v>72.546342546896483</v>
      </c>
      <c r="O56" s="21">
        <f t="shared" si="27"/>
        <v>72.650369587104024</v>
      </c>
      <c r="P56" s="22">
        <f t="shared" si="28"/>
        <v>72.840787970421928</v>
      </c>
      <c r="Q56" s="23">
        <f t="shared" si="29"/>
        <v>73.048078765655561</v>
      </c>
      <c r="R56" s="24">
        <f t="shared" si="30"/>
        <v>73.254913741459234</v>
      </c>
      <c r="S56" s="25">
        <f t="shared" si="31"/>
        <v>73.735765175589279</v>
      </c>
    </row>
    <row r="57" spans="1:19">
      <c r="A57">
        <v>49</v>
      </c>
      <c r="B57" s="18">
        <f t="shared" si="17"/>
        <v>0.85521133347722145</v>
      </c>
      <c r="C57" s="19">
        <f t="shared" si="18"/>
        <v>40.171972422205727</v>
      </c>
      <c r="D57" s="20">
        <f t="shared" si="19"/>
        <v>40.041720001861364</v>
      </c>
      <c r="E57" s="21">
        <f t="shared" si="20"/>
        <v>39.970785268409827</v>
      </c>
      <c r="F57" s="22">
        <f t="shared" si="21"/>
        <v>39.840943086321147</v>
      </c>
      <c r="G57" s="23">
        <f t="shared" si="22"/>
        <v>39.699598501910089</v>
      </c>
      <c r="H57" s="24">
        <f t="shared" si="23"/>
        <v>39.558567349372282</v>
      </c>
      <c r="I57" s="25">
        <f t="shared" si="24"/>
        <v>39.230707213693393</v>
      </c>
      <c r="K57">
        <v>49</v>
      </c>
      <c r="L57" s="18">
        <f t="shared" si="16"/>
        <v>0.85521133347722145</v>
      </c>
      <c r="M57" s="26">
        <f t="shared" si="25"/>
        <v>70.74204136669141</v>
      </c>
      <c r="N57" s="20">
        <f t="shared" si="26"/>
        <v>70.937419997207968</v>
      </c>
      <c r="O57" s="21">
        <f t="shared" si="27"/>
        <v>71.043822097385288</v>
      </c>
      <c r="P57" s="22">
        <f t="shared" si="28"/>
        <v>71.238585370518251</v>
      </c>
      <c r="Q57" s="23">
        <f t="shared" si="29"/>
        <v>71.450602247134867</v>
      </c>
      <c r="R57" s="24">
        <f t="shared" si="30"/>
        <v>71.662148975941562</v>
      </c>
      <c r="S57" s="25">
        <f t="shared" si="31"/>
        <v>72.153939179459911</v>
      </c>
    </row>
    <row r="58" spans="1:19">
      <c r="A58">
        <v>50</v>
      </c>
      <c r="B58" s="18">
        <f t="shared" si="17"/>
        <v>0.87266462599716477</v>
      </c>
      <c r="C58" s="19">
        <f t="shared" si="18"/>
        <v>40.549978049985299</v>
      </c>
      <c r="D58" s="20">
        <f t="shared" si="19"/>
        <v>40.416812243963989</v>
      </c>
      <c r="E58" s="21">
        <f t="shared" si="20"/>
        <v>40.344291886987293</v>
      </c>
      <c r="F58" s="22">
        <f t="shared" si="21"/>
        <v>40.211549112130342</v>
      </c>
      <c r="G58" s="23">
        <f t="shared" si="22"/>
        <v>40.0670496278467</v>
      </c>
      <c r="H58" s="24">
        <f t="shared" si="23"/>
        <v>39.922873318013245</v>
      </c>
      <c r="I58" s="25">
        <f t="shared" si="24"/>
        <v>39.587712091998526</v>
      </c>
      <c r="K58">
        <v>50</v>
      </c>
      <c r="L58" s="18">
        <f t="shared" si="16"/>
        <v>0.87266462599716477</v>
      </c>
      <c r="M58" s="26">
        <f t="shared" si="25"/>
        <v>69.175032925022094</v>
      </c>
      <c r="N58" s="20">
        <f t="shared" si="26"/>
        <v>69.374781634053988</v>
      </c>
      <c r="O58" s="21">
        <f t="shared" si="27"/>
        <v>69.483562169519104</v>
      </c>
      <c r="P58" s="22">
        <f t="shared" si="28"/>
        <v>69.682676331804544</v>
      </c>
      <c r="Q58" s="23">
        <f t="shared" si="29"/>
        <v>69.899425558229979</v>
      </c>
      <c r="R58" s="24">
        <f t="shared" si="30"/>
        <v>70.115690022980118</v>
      </c>
      <c r="S58" s="25">
        <f t="shared" si="31"/>
        <v>70.618431862002211</v>
      </c>
    </row>
    <row r="59" spans="1:19">
      <c r="A59">
        <v>51</v>
      </c>
      <c r="B59" s="18">
        <f t="shared" si="17"/>
        <v>0.89011791851710798</v>
      </c>
      <c r="C59" s="19">
        <f t="shared" si="18"/>
        <v>40.895982609968257</v>
      </c>
      <c r="D59" s="20">
        <f t="shared" si="19"/>
        <v>40.75990070589998</v>
      </c>
      <c r="E59" s="21">
        <f t="shared" si="20"/>
        <v>40.685793314919977</v>
      </c>
      <c r="F59" s="22">
        <f t="shared" si="21"/>
        <v>40.55014748688285</v>
      </c>
      <c r="G59" s="23">
        <f t="shared" si="22"/>
        <v>40.402490602260741</v>
      </c>
      <c r="H59" s="24">
        <f t="shared" si="23"/>
        <v>40.2551668243253</v>
      </c>
      <c r="I59" s="25">
        <f t="shared" si="24"/>
        <v>39.91269984258787</v>
      </c>
      <c r="K59">
        <v>51</v>
      </c>
      <c r="L59" s="18">
        <f t="shared" si="16"/>
        <v>0.89011791851710798</v>
      </c>
      <c r="M59" s="26">
        <f t="shared" si="25"/>
        <v>67.656026085047642</v>
      </c>
      <c r="N59" s="20">
        <f t="shared" si="26"/>
        <v>67.860148941150015</v>
      </c>
      <c r="O59" s="21">
        <f t="shared" si="27"/>
        <v>67.971310027620035</v>
      </c>
      <c r="P59" s="22">
        <f t="shared" si="28"/>
        <v>68.174778769675726</v>
      </c>
      <c r="Q59" s="23">
        <f t="shared" si="29"/>
        <v>68.39626409660886</v>
      </c>
      <c r="R59" s="24">
        <f t="shared" si="30"/>
        <v>68.617249763512035</v>
      </c>
      <c r="S59" s="25">
        <f t="shared" si="31"/>
        <v>69.130950236118167</v>
      </c>
    </row>
    <row r="60" spans="1:19">
      <c r="A60">
        <v>52</v>
      </c>
      <c r="B60" s="18">
        <f t="shared" si="17"/>
        <v>0.90757121103705141</v>
      </c>
      <c r="C60" s="19">
        <f t="shared" si="18"/>
        <v>41.2088053085171</v>
      </c>
      <c r="D60" s="20">
        <f t="shared" si="19"/>
        <v>41.069806295368664</v>
      </c>
      <c r="E60" s="21">
        <f t="shared" si="20"/>
        <v>40.994111387391683</v>
      </c>
      <c r="F60" s="22">
        <f t="shared" si="21"/>
        <v>40.855561745175066</v>
      </c>
      <c r="G60" s="23">
        <f t="shared" si="22"/>
        <v>40.704746812172317</v>
      </c>
      <c r="H60" s="24">
        <f t="shared" si="23"/>
        <v>40.554275106156496</v>
      </c>
      <c r="I60" s="25">
        <f t="shared" si="24"/>
        <v>40.204502015419934</v>
      </c>
      <c r="K60">
        <v>52</v>
      </c>
      <c r="L60" s="18">
        <f t="shared" si="16"/>
        <v>0.90757121103705141</v>
      </c>
      <c r="M60" s="26">
        <f t="shared" si="25"/>
        <v>66.186792037224336</v>
      </c>
      <c r="N60" s="20">
        <f t="shared" si="26"/>
        <v>66.395290556946975</v>
      </c>
      <c r="O60" s="21">
        <f t="shared" si="27"/>
        <v>66.508832918912475</v>
      </c>
      <c r="P60" s="22">
        <f t="shared" si="28"/>
        <v>66.7166573822374</v>
      </c>
      <c r="Q60" s="23">
        <f t="shared" si="29"/>
        <v>66.94287978174151</v>
      </c>
      <c r="R60" s="24">
        <f t="shared" si="30"/>
        <v>67.168587340765242</v>
      </c>
      <c r="S60" s="25">
        <f t="shared" si="31"/>
        <v>67.693246976870114</v>
      </c>
    </row>
    <row r="61" spans="1:19">
      <c r="A61">
        <v>53</v>
      </c>
      <c r="B61" s="18">
        <f t="shared" si="17"/>
        <v>0.92502450355699462</v>
      </c>
      <c r="C61" s="19">
        <f t="shared" si="18"/>
        <v>41.487233713674271</v>
      </c>
      <c r="D61" s="20">
        <f t="shared" si="19"/>
        <v>41.34531845168857</v>
      </c>
      <c r="E61" s="21">
        <f t="shared" si="20"/>
        <v>41.268036563527744</v>
      </c>
      <c r="F61" s="22">
        <f t="shared" si="21"/>
        <v>41.12658421412354</v>
      </c>
      <c r="G61" s="23">
        <f t="shared" si="22"/>
        <v>40.972612620028315</v>
      </c>
      <c r="H61" s="24">
        <f t="shared" si="23"/>
        <v>40.818994558652975</v>
      </c>
      <c r="I61" s="25">
        <f t="shared" si="24"/>
        <v>40.461919738122617</v>
      </c>
      <c r="K61">
        <v>53</v>
      </c>
      <c r="L61" s="18">
        <f t="shared" si="16"/>
        <v>0.92502450355699462</v>
      </c>
      <c r="M61" s="26">
        <f t="shared" si="25"/>
        <v>64.769149429488607</v>
      </c>
      <c r="N61" s="20">
        <f t="shared" si="26"/>
        <v>64.982022322467145</v>
      </c>
      <c r="O61" s="21">
        <f t="shared" si="27"/>
        <v>65.097945154708384</v>
      </c>
      <c r="P61" s="22">
        <f t="shared" si="28"/>
        <v>65.310123678814705</v>
      </c>
      <c r="Q61" s="23">
        <f t="shared" si="29"/>
        <v>65.541081069957556</v>
      </c>
      <c r="R61" s="24">
        <f t="shared" si="30"/>
        <v>65.771508162020552</v>
      </c>
      <c r="S61" s="25">
        <f t="shared" si="31"/>
        <v>66.307120392816046</v>
      </c>
    </row>
    <row r="62" spans="1:19">
      <c r="A62">
        <v>54</v>
      </c>
      <c r="B62" s="18">
        <f t="shared" si="17"/>
        <v>0.94247779607693793</v>
      </c>
      <c r="C62" s="19">
        <f t="shared" si="18"/>
        <v>41.730023859615443</v>
      </c>
      <c r="D62" s="20">
        <f t="shared" si="19"/>
        <v>41.585195258565733</v>
      </c>
      <c r="E62" s="21">
        <f t="shared" si="20"/>
        <v>41.506328043659096</v>
      </c>
      <c r="F62" s="22">
        <f t="shared" si="21"/>
        <v>41.361976138798866</v>
      </c>
      <c r="G62" s="23">
        <f t="shared" si="22"/>
        <v>41.204851497942457</v>
      </c>
      <c r="H62" s="24">
        <f t="shared" si="23"/>
        <v>41.048090877195989</v>
      </c>
      <c r="I62" s="25">
        <f t="shared" si="24"/>
        <v>40.683723878804841</v>
      </c>
      <c r="K62">
        <v>54</v>
      </c>
      <c r="L62" s="18">
        <f t="shared" si="16"/>
        <v>0.94247779607693793</v>
      </c>
      <c r="M62" s="26">
        <f t="shared" si="25"/>
        <v>63.40496421057685</v>
      </c>
      <c r="N62" s="20">
        <f t="shared" si="26"/>
        <v>63.622207112151415</v>
      </c>
      <c r="O62" s="21">
        <f t="shared" si="27"/>
        <v>63.740507934511356</v>
      </c>
      <c r="P62" s="22">
        <f t="shared" si="28"/>
        <v>63.957035791801673</v>
      </c>
      <c r="Q62" s="23">
        <f t="shared" si="29"/>
        <v>64.192722753086315</v>
      </c>
      <c r="R62" s="24">
        <f t="shared" si="30"/>
        <v>64.427863684206045</v>
      </c>
      <c r="S62" s="25">
        <f t="shared" si="31"/>
        <v>64.974414181792753</v>
      </c>
    </row>
    <row r="63" spans="1:19">
      <c r="A63">
        <v>55</v>
      </c>
      <c r="B63" s="18">
        <f t="shared" si="17"/>
        <v>0.95993108859688125</v>
      </c>
      <c r="C63" s="19">
        <f t="shared" si="18"/>
        <v>41.935900513083027</v>
      </c>
      <c r="D63" s="20">
        <f t="shared" si="19"/>
        <v>41.788163718596394</v>
      </c>
      <c r="E63" s="21">
        <f t="shared" si="20"/>
        <v>41.707714048184187</v>
      </c>
      <c r="F63" s="22">
        <f t="shared" si="21"/>
        <v>41.560467969004378</v>
      </c>
      <c r="G63" s="23">
        <f t="shared" si="22"/>
        <v>41.400196323000102</v>
      </c>
      <c r="H63" s="24">
        <f t="shared" si="23"/>
        <v>41.240299361118161</v>
      </c>
      <c r="I63" s="25">
        <f t="shared" si="24"/>
        <v>40.868655368963459</v>
      </c>
      <c r="K63">
        <v>55</v>
      </c>
      <c r="L63" s="18">
        <f t="shared" si="16"/>
        <v>0.95993108859688125</v>
      </c>
      <c r="M63" s="26">
        <f t="shared" si="25"/>
        <v>62.09614923037546</v>
      </c>
      <c r="N63" s="20">
        <f t="shared" si="26"/>
        <v>62.317754422105395</v>
      </c>
      <c r="O63" s="21">
        <f t="shared" si="27"/>
        <v>62.43842892772372</v>
      </c>
      <c r="P63" s="22">
        <f t="shared" si="28"/>
        <v>62.659298046493404</v>
      </c>
      <c r="Q63" s="23">
        <f t="shared" si="29"/>
        <v>62.899705515499818</v>
      </c>
      <c r="R63" s="24">
        <f t="shared" si="30"/>
        <v>63.139550958322758</v>
      </c>
      <c r="S63" s="25">
        <f t="shared" si="31"/>
        <v>63.697016946554811</v>
      </c>
    </row>
    <row r="64" spans="1:19">
      <c r="A64">
        <v>56</v>
      </c>
      <c r="B64" s="18">
        <f t="shared" si="17"/>
        <v>0.97738438111682457</v>
      </c>
      <c r="C64" s="19">
        <f t="shared" si="18"/>
        <v>42.10355761987438</v>
      </c>
      <c r="D64" s="20">
        <f t="shared" si="19"/>
        <v>41.952920207450916</v>
      </c>
      <c r="E64" s="21">
        <f t="shared" si="20"/>
        <v>41.870892275907835</v>
      </c>
      <c r="F64" s="22">
        <f t="shared" si="21"/>
        <v>41.720759825153351</v>
      </c>
      <c r="G64" s="23">
        <f t="shared" si="22"/>
        <v>41.557349851244709</v>
      </c>
      <c r="H64" s="24">
        <f t="shared" si="23"/>
        <v>41.394325395681278</v>
      </c>
      <c r="I64" s="25">
        <f t="shared" si="24"/>
        <v>41.015425703656291</v>
      </c>
      <c r="K64">
        <v>56</v>
      </c>
      <c r="L64" s="18">
        <f t="shared" si="16"/>
        <v>0.97738438111682457</v>
      </c>
      <c r="M64" s="26">
        <f t="shared" si="25"/>
        <v>60.84466357018843</v>
      </c>
      <c r="N64" s="20">
        <f t="shared" si="26"/>
        <v>61.070619688823598</v>
      </c>
      <c r="O64" s="21">
        <f t="shared" si="27"/>
        <v>61.193661586138205</v>
      </c>
      <c r="P64" s="22">
        <f t="shared" si="28"/>
        <v>61.418860262269931</v>
      </c>
      <c r="Q64" s="23">
        <f t="shared" si="29"/>
        <v>61.663975223132951</v>
      </c>
      <c r="R64" s="24">
        <f t="shared" si="30"/>
        <v>61.908511906478083</v>
      </c>
      <c r="S64" s="25">
        <f t="shared" si="31"/>
        <v>62.476861444515521</v>
      </c>
    </row>
    <row r="65" spans="1:19">
      <c r="A65">
        <v>57</v>
      </c>
      <c r="B65" s="18">
        <f t="shared" si="17"/>
        <v>0.99483767363676778</v>
      </c>
      <c r="C65" s="19">
        <f t="shared" si="18"/>
        <v>42.231658950226176</v>
      </c>
      <c r="D65" s="20">
        <f t="shared" si="19"/>
        <v>42.078131126438848</v>
      </c>
      <c r="E65" s="21">
        <f t="shared" si="20"/>
        <v>41.994530560478694</v>
      </c>
      <c r="F65" s="22">
        <f t="shared" si="21"/>
        <v>41.841522161725464</v>
      </c>
      <c r="G65" s="23">
        <f t="shared" si="22"/>
        <v>41.674985388673377</v>
      </c>
      <c r="H65" s="24">
        <f t="shared" si="23"/>
        <v>41.508845130490528</v>
      </c>
      <c r="I65" s="25">
        <f t="shared" si="24"/>
        <v>41.122717636765429</v>
      </c>
      <c r="K65">
        <v>57</v>
      </c>
      <c r="L65" s="18">
        <f t="shared" si="16"/>
        <v>0.99483767363676778</v>
      </c>
      <c r="M65" s="26">
        <f t="shared" si="25"/>
        <v>59.652511574660736</v>
      </c>
      <c r="N65" s="20">
        <f t="shared" si="26"/>
        <v>59.882803310341757</v>
      </c>
      <c r="O65" s="21">
        <f t="shared" si="27"/>
        <v>60.008204159281945</v>
      </c>
      <c r="P65" s="22">
        <f t="shared" si="28"/>
        <v>60.237716757411818</v>
      </c>
      <c r="Q65" s="23">
        <f t="shared" si="29"/>
        <v>60.487521916989891</v>
      </c>
      <c r="R65" s="24">
        <f t="shared" si="30"/>
        <v>60.736732304264194</v>
      </c>
      <c r="S65" s="25">
        <f t="shared" si="31"/>
        <v>61.31592354485187</v>
      </c>
    </row>
    <row r="66" spans="1:19">
      <c r="A66">
        <v>58</v>
      </c>
      <c r="B66" s="18">
        <f t="shared" si="17"/>
        <v>1.0122909661567112</v>
      </c>
      <c r="C66" s="19">
        <f t="shared" si="18"/>
        <v>42.318838962553656</v>
      </c>
      <c r="D66" s="20">
        <f t="shared" si="19"/>
        <v>42.162433772753786</v>
      </c>
      <c r="E66" s="21">
        <f t="shared" si="20"/>
        <v>42.077267744137345</v>
      </c>
      <c r="F66" s="22">
        <f t="shared" si="21"/>
        <v>41.921396647356346</v>
      </c>
      <c r="G66" s="23">
        <f t="shared" si="22"/>
        <v>41.751747678126037</v>
      </c>
      <c r="H66" s="24">
        <f t="shared" si="23"/>
        <v>41.582506373060028</v>
      </c>
      <c r="I66" s="25">
        <f t="shared" si="24"/>
        <v>41.18918608967428</v>
      </c>
      <c r="K66">
        <v>58</v>
      </c>
      <c r="L66" s="18">
        <f t="shared" si="16"/>
        <v>1.0122909661567112</v>
      </c>
      <c r="M66" s="26">
        <f t="shared" si="25"/>
        <v>58.52174155616953</v>
      </c>
      <c r="N66" s="20">
        <f t="shared" si="26"/>
        <v>58.75634934086932</v>
      </c>
      <c r="O66" s="21">
        <f t="shared" si="27"/>
        <v>58.884098383793997</v>
      </c>
      <c r="P66" s="22">
        <f t="shared" si="28"/>
        <v>59.117905028965424</v>
      </c>
      <c r="Q66" s="23">
        <f t="shared" si="29"/>
        <v>59.372378482810973</v>
      </c>
      <c r="R66" s="24">
        <f t="shared" si="30"/>
        <v>59.626240440409958</v>
      </c>
      <c r="S66" s="25">
        <f t="shared" si="31"/>
        <v>60.216220865488594</v>
      </c>
    </row>
    <row r="67" spans="1:19">
      <c r="A67">
        <v>59</v>
      </c>
      <c r="B67" s="18">
        <f t="shared" si="17"/>
        <v>1.0297442586766543</v>
      </c>
      <c r="C67" s="19">
        <f t="shared" si="18"/>
        <v>42.363703905420181</v>
      </c>
      <c r="D67" s="20">
        <f t="shared" si="19"/>
        <v>42.204437447096353</v>
      </c>
      <c r="E67" s="21">
        <f t="shared" si="20"/>
        <v>42.117714788378379</v>
      </c>
      <c r="F67" s="22">
        <f t="shared" si="21"/>
        <v>41.958997280989252</v>
      </c>
      <c r="G67" s="23">
        <f t="shared" si="22"/>
        <v>41.786254021306547</v>
      </c>
      <c r="H67" s="24">
        <f t="shared" si="23"/>
        <v>41.613929716581595</v>
      </c>
      <c r="I67" s="25">
        <f t="shared" si="24"/>
        <v>41.213459291982019</v>
      </c>
      <c r="K67">
        <v>59</v>
      </c>
      <c r="L67" s="18">
        <f t="shared" si="16"/>
        <v>1.0297442586766543</v>
      </c>
      <c r="M67" s="26">
        <f t="shared" si="25"/>
        <v>57.454444141869686</v>
      </c>
      <c r="N67" s="20">
        <f t="shared" si="26"/>
        <v>57.693343829355456</v>
      </c>
      <c r="O67" s="21">
        <f t="shared" si="27"/>
        <v>57.823427817432446</v>
      </c>
      <c r="P67" s="22">
        <f t="shared" si="28"/>
        <v>58.061504078516151</v>
      </c>
      <c r="Q67" s="23">
        <f t="shared" si="29"/>
        <v>58.320618968040179</v>
      </c>
      <c r="R67" s="24">
        <f t="shared" si="30"/>
        <v>58.579105425127636</v>
      </c>
      <c r="S67" s="25">
        <f t="shared" si="31"/>
        <v>59.179811062026943</v>
      </c>
    </row>
    <row r="68" spans="1:19">
      <c r="A68">
        <v>60</v>
      </c>
      <c r="B68" s="18">
        <f t="shared" si="17"/>
        <v>1.0471975511965976</v>
      </c>
      <c r="C68" s="19">
        <f t="shared" si="18"/>
        <v>42.364833177781549</v>
      </c>
      <c r="D68" s="20">
        <f t="shared" si="19"/>
        <v>42.202724818528594</v>
      </c>
      <c r="E68" s="21">
        <f t="shared" si="20"/>
        <v>42.114456141274445</v>
      </c>
      <c r="F68" s="22">
        <f t="shared" si="21"/>
        <v>41.952911763647563</v>
      </c>
      <c r="G68" s="23">
        <f t="shared" si="22"/>
        <v>41.777095655290594</v>
      </c>
      <c r="H68" s="24">
        <f t="shared" si="23"/>
        <v>41.601709921047728</v>
      </c>
      <c r="I68" s="25">
        <f t="shared" si="24"/>
        <v>41.194140172937921</v>
      </c>
      <c r="K68">
        <v>60</v>
      </c>
      <c r="L68" s="18">
        <f t="shared" si="16"/>
        <v>1.0471975511965976</v>
      </c>
      <c r="M68" s="26">
        <f t="shared" si="25"/>
        <v>56.45275023332772</v>
      </c>
      <c r="N68" s="20">
        <f t="shared" si="26"/>
        <v>56.695912772207123</v>
      </c>
      <c r="O68" s="21">
        <f t="shared" si="27"/>
        <v>56.828315788088304</v>
      </c>
      <c r="P68" s="22">
        <f t="shared" si="28"/>
        <v>57.070632354528698</v>
      </c>
      <c r="Q68" s="23">
        <f t="shared" si="29"/>
        <v>57.334356517064094</v>
      </c>
      <c r="R68" s="24">
        <f t="shared" si="30"/>
        <v>57.59743511842845</v>
      </c>
      <c r="S68" s="25">
        <f t="shared" si="31"/>
        <v>58.208789740593119</v>
      </c>
    </row>
    <row r="69" spans="1:19">
      <c r="A69">
        <v>61</v>
      </c>
      <c r="B69" s="18">
        <f t="shared" si="17"/>
        <v>1.064650843716541</v>
      </c>
      <c r="C69" s="19">
        <f t="shared" si="18"/>
        <v>42.32078096742444</v>
      </c>
      <c r="D69" s="20">
        <f t="shared" si="19"/>
        <v>42.155853566269485</v>
      </c>
      <c r="E69" s="21">
        <f t="shared" si="20"/>
        <v>42.066051381060703</v>
      </c>
      <c r="F69" s="22">
        <f t="shared" si="21"/>
        <v>41.901703145219528</v>
      </c>
      <c r="G69" s="23">
        <f t="shared" si="22"/>
        <v>41.722839402689999</v>
      </c>
      <c r="H69" s="24">
        <f t="shared" si="23"/>
        <v>41.544417566679329</v>
      </c>
      <c r="I69" s="25">
        <f t="shared" si="24"/>
        <v>41.129808022044415</v>
      </c>
      <c r="K69">
        <v>61</v>
      </c>
      <c r="L69" s="18">
        <f t="shared" si="16"/>
        <v>1.064650843716541</v>
      </c>
      <c r="M69" s="26">
        <f t="shared" si="25"/>
        <v>55.518828548863382</v>
      </c>
      <c r="N69" s="20">
        <f t="shared" si="26"/>
        <v>55.766219650595787</v>
      </c>
      <c r="O69" s="21">
        <f t="shared" si="27"/>
        <v>55.900922928408903</v>
      </c>
      <c r="P69" s="22">
        <f t="shared" si="28"/>
        <v>56.147445282170708</v>
      </c>
      <c r="Q69" s="23">
        <f t="shared" si="29"/>
        <v>56.415740895965001</v>
      </c>
      <c r="R69" s="24">
        <f t="shared" si="30"/>
        <v>56.683373649980979</v>
      </c>
      <c r="S69" s="25">
        <f t="shared" si="31"/>
        <v>57.305287966933378</v>
      </c>
    </row>
    <row r="70" spans="1:19">
      <c r="A70">
        <v>62</v>
      </c>
      <c r="B70" s="18">
        <f t="shared" si="17"/>
        <v>1.0821041362364843</v>
      </c>
      <c r="C70" s="19">
        <f t="shared" si="18"/>
        <v>42.230078187036725</v>
      </c>
      <c r="D70" s="20">
        <f t="shared" si="19"/>
        <v>42.062358317648659</v>
      </c>
      <c r="E70" s="21">
        <f t="shared" si="20"/>
        <v>41.971037155074896</v>
      </c>
      <c r="F70" s="22">
        <f t="shared" si="21"/>
        <v>41.803911765135922</v>
      </c>
      <c r="G70" s="23">
        <f t="shared" si="22"/>
        <v>41.622029614117821</v>
      </c>
      <c r="H70" s="24">
        <f t="shared" si="23"/>
        <v>41.440600998069897</v>
      </c>
      <c r="I70" s="25">
        <f t="shared" si="24"/>
        <v>41.019020436706995</v>
      </c>
      <c r="K70">
        <v>62</v>
      </c>
      <c r="L70" s="18">
        <f t="shared" si="16"/>
        <v>1.0821041362364843</v>
      </c>
      <c r="M70" s="26">
        <f t="shared" si="25"/>
        <v>54.654882719444856</v>
      </c>
      <c r="N70" s="20">
        <f t="shared" si="26"/>
        <v>54.906462523527011</v>
      </c>
      <c r="O70" s="21">
        <f t="shared" si="27"/>
        <v>55.043444267387656</v>
      </c>
      <c r="P70" s="22">
        <f t="shared" si="28"/>
        <v>55.294132352296145</v>
      </c>
      <c r="Q70" s="23">
        <f t="shared" si="29"/>
        <v>55.566955578823297</v>
      </c>
      <c r="R70" s="24">
        <f t="shared" si="30"/>
        <v>55.839098502895183</v>
      </c>
      <c r="S70" s="25">
        <f t="shared" si="31"/>
        <v>56.471469344939493</v>
      </c>
    </row>
    <row r="71" spans="1:19">
      <c r="A71">
        <v>63</v>
      </c>
      <c r="B71" s="18">
        <f t="shared" si="17"/>
        <v>1.0995574287564276</v>
      </c>
      <c r="C71" s="19">
        <f t="shared" si="18"/>
        <v>42.091234726456889</v>
      </c>
      <c r="D71" s="20">
        <f t="shared" si="19"/>
        <v>41.920752900532591</v>
      </c>
      <c r="E71" s="21">
        <f t="shared" si="20"/>
        <v>41.827929432243423</v>
      </c>
      <c r="F71" s="22">
        <f t="shared" si="21"/>
        <v>41.6580575048973</v>
      </c>
      <c r="G71" s="23">
        <f t="shared" si="22"/>
        <v>41.473190420665929</v>
      </c>
      <c r="H71" s="24">
        <f t="shared" si="23"/>
        <v>41.288788576513895</v>
      </c>
      <c r="I71" s="25">
        <f t="shared" si="24"/>
        <v>40.860315573841689</v>
      </c>
      <c r="K71">
        <v>63</v>
      </c>
      <c r="L71" s="18">
        <f t="shared" si="16"/>
        <v>1.0995574287564276</v>
      </c>
      <c r="M71" s="26">
        <f t="shared" si="25"/>
        <v>53.863147910314723</v>
      </c>
      <c r="N71" s="20">
        <f t="shared" si="26"/>
        <v>54.118870649201142</v>
      </c>
      <c r="O71" s="21">
        <f t="shared" si="27"/>
        <v>54.258105851634838</v>
      </c>
      <c r="P71" s="22">
        <f t="shared" si="28"/>
        <v>54.512913742654092</v>
      </c>
      <c r="Q71" s="23">
        <f t="shared" si="29"/>
        <v>54.790214369001063</v>
      </c>
      <c r="R71" s="24">
        <f t="shared" si="30"/>
        <v>55.066817135229144</v>
      </c>
      <c r="S71" s="25">
        <f t="shared" si="31"/>
        <v>55.709526639237509</v>
      </c>
    </row>
    <row r="72" spans="1:19">
      <c r="A72">
        <v>64</v>
      </c>
      <c r="B72" s="18">
        <f t="shared" ref="B72:B98" si="32">A72 *PI() / 180</f>
        <v>1.1170107212763709</v>
      </c>
      <c r="C72" s="19">
        <f t="shared" ref="C72:C98" si="33">4*ASIN(SIN(A72*PI()/180)/$C$4)*180/PI() - 2*A72</f>
        <v>41.902742038292729</v>
      </c>
      <c r="D72" s="20">
        <f t="shared" ref="D72:D98" si="34">4*ASIN(SIN(A72*PI()/180)/$D$4)*180/PI() - 2*A72</f>
        <v>41.729532927172386</v>
      </c>
      <c r="E72" s="21">
        <f t="shared" ref="E72:E98" si="35">4*ASIN(SIN(A72*PI()/180)/$E$4)*180/PI() - 2*A72</f>
        <v>41.635226085930782</v>
      </c>
      <c r="F72" s="22">
        <f t="shared" ref="F72:F98" si="36">4*ASIN(SIN(A72*PI()/180)/$F$4)*180/PI() - 2*A72</f>
        <v>41.46264236903653</v>
      </c>
      <c r="G72" s="23">
        <f t="shared" ref="G72:G98" si="37">4*ASIN(SIN(A72*PI()/180)/$G$4)*180/PI() - 2*A72</f>
        <v>41.274828312723855</v>
      </c>
      <c r="H72" s="24">
        <f t="shared" ref="H72:H98" si="38">4*ASIN(SIN(A72*PI()/180)/$H$4)*180/PI() - 2*A72</f>
        <v>41.087491256597218</v>
      </c>
      <c r="I72" s="25">
        <f t="shared" ref="I72:I98" si="39">4*ASIN(SIN(A72*PI()/180)/$I$4)*180/PI() - 2*A72</f>
        <v>40.652214720943135</v>
      </c>
      <c r="K72">
        <v>64</v>
      </c>
      <c r="L72" s="18">
        <f t="shared" si="16"/>
        <v>1.1170107212763709</v>
      </c>
      <c r="M72" s="26">
        <f t="shared" ref="M72:M98" si="40">180 - 6*ASIN(SIN(A72*PI()/180)/$M$4)*180/PI() + 2*A72</f>
        <v>53.145886942560935</v>
      </c>
      <c r="N72" s="20">
        <f t="shared" ref="N72:N98" si="41">180 - 6*ASIN(SIN(A72*PI()/180)/$N$4)*180/PI() + 2*A72</f>
        <v>53.405700609241393</v>
      </c>
      <c r="O72" s="21">
        <f t="shared" ref="O72:O98" si="42">180 - 6*ASIN(SIN(A72*PI()/180)/$O$4)*180/PI() + 2*A72</f>
        <v>53.547160871103841</v>
      </c>
      <c r="P72" s="22">
        <f t="shared" ref="P72:P98" si="43">180 - 6*ASIN(SIN(A72*PI()/180)/$P$4)*180/PI() + 2*A72</f>
        <v>53.806036446445233</v>
      </c>
      <c r="Q72" s="23">
        <f t="shared" ref="Q72:Q98" si="44">180 - 6*ASIN(SIN(A72*PI()/180)/$Q$4)*180/PI() + 2*A72</f>
        <v>54.087757530914189</v>
      </c>
      <c r="R72" s="24">
        <f t="shared" ref="R72:R98" si="45">180 - 6*ASIN(SIN(A72*PI()/180)/$R$4)*180/PI() + 2*A72</f>
        <v>54.368763115104173</v>
      </c>
      <c r="S72" s="25">
        <f t="shared" ref="S72:S98" si="46">180 - 6*ASIN(SIN(A72*PI()/180)/$S$4)*180/PI() + 2*A72</f>
        <v>55.021677918585311</v>
      </c>
    </row>
    <row r="73" spans="1:19">
      <c r="A73">
        <v>65</v>
      </c>
      <c r="B73" s="18">
        <f t="shared" si="32"/>
        <v>1.1344640137963142</v>
      </c>
      <c r="C73" s="19">
        <f t="shared" si="33"/>
        <v>41.663076072217592</v>
      </c>
      <c r="D73" s="20">
        <f t="shared" si="34"/>
        <v>41.487178724536847</v>
      </c>
      <c r="E73" s="21">
        <f t="shared" si="35"/>
        <v>41.391409822084881</v>
      </c>
      <c r="F73" s="22">
        <f t="shared" si="36"/>
        <v>41.216153409206214</v>
      </c>
      <c r="G73" s="23">
        <f t="shared" si="37"/>
        <v>41.02543505957226</v>
      </c>
      <c r="H73" s="24">
        <f t="shared" si="38"/>
        <v>40.83520550122725</v>
      </c>
      <c r="I73" s="25">
        <f t="shared" si="39"/>
        <v>40.393225200211674</v>
      </c>
      <c r="K73">
        <v>65</v>
      </c>
      <c r="L73" s="18">
        <f t="shared" si="16"/>
        <v>1.1344640137963142</v>
      </c>
      <c r="M73" s="26">
        <f t="shared" si="40"/>
        <v>52.505385891673598</v>
      </c>
      <c r="N73" s="20">
        <f t="shared" si="41"/>
        <v>52.769231913194687</v>
      </c>
      <c r="O73" s="21">
        <f t="shared" si="42"/>
        <v>52.912885266872649</v>
      </c>
      <c r="P73" s="22">
        <f t="shared" si="43"/>
        <v>53.175769886190722</v>
      </c>
      <c r="Q73" s="23">
        <f t="shared" si="44"/>
        <v>53.46184741064161</v>
      </c>
      <c r="R73" s="24">
        <f t="shared" si="45"/>
        <v>53.747191748159082</v>
      </c>
      <c r="S73" s="25">
        <f t="shared" si="46"/>
        <v>54.410162199682503</v>
      </c>
    </row>
    <row r="74" spans="1:19">
      <c r="A74">
        <v>66</v>
      </c>
      <c r="B74" s="18">
        <f t="shared" si="32"/>
        <v>1.1519173063162575</v>
      </c>
      <c r="C74" s="19">
        <f t="shared" si="33"/>
        <v>41.370700570795719</v>
      </c>
      <c r="D74" s="20">
        <f t="shared" si="34"/>
        <v>41.19215862373909</v>
      </c>
      <c r="E74" s="21">
        <f t="shared" si="35"/>
        <v>41.094951465155248</v>
      </c>
      <c r="F74" s="22">
        <f t="shared" si="36"/>
        <v>40.917066003630651</v>
      </c>
      <c r="G74" s="23">
        <f t="shared" si="37"/>
        <v>40.723490981733676</v>
      </c>
      <c r="H74" s="24">
        <f t="shared" si="38"/>
        <v>40.530416546835085</v>
      </c>
      <c r="I74" s="25">
        <f t="shared" si="39"/>
        <v>40.081843616897572</v>
      </c>
      <c r="K74">
        <v>66</v>
      </c>
      <c r="L74" s="18">
        <f t="shared" si="16"/>
        <v>1.1519173063162575</v>
      </c>
      <c r="M74" s="26">
        <f t="shared" si="40"/>
        <v>51.943949143806435</v>
      </c>
      <c r="N74" s="20">
        <f t="shared" si="41"/>
        <v>52.211762064391337</v>
      </c>
      <c r="O74" s="21">
        <f t="shared" si="42"/>
        <v>52.3575728022671</v>
      </c>
      <c r="P74" s="22">
        <f t="shared" si="43"/>
        <v>52.62440099455398</v>
      </c>
      <c r="Q74" s="23">
        <f t="shared" si="44"/>
        <v>52.914763527399487</v>
      </c>
      <c r="R74" s="24">
        <f t="shared" si="45"/>
        <v>53.204375179747387</v>
      </c>
      <c r="S74" s="25">
        <f t="shared" si="46"/>
        <v>53.877234574653642</v>
      </c>
    </row>
    <row r="75" spans="1:19">
      <c r="A75">
        <v>67</v>
      </c>
      <c r="B75" s="18">
        <f t="shared" si="32"/>
        <v>1.1693705988362006</v>
      </c>
      <c r="C75" s="19">
        <f t="shared" si="33"/>
        <v>41.024070736609048</v>
      </c>
      <c r="D75" s="20">
        <f t="shared" si="34"/>
        <v>40.842932618093954</v>
      </c>
      <c r="E75" s="21">
        <f t="shared" si="35"/>
        <v>40.744313611193206</v>
      </c>
      <c r="F75" s="22">
        <f t="shared" si="36"/>
        <v>40.563847501102856</v>
      </c>
      <c r="G75" s="23">
        <f t="shared" si="37"/>
        <v>40.367468585014166</v>
      </c>
      <c r="H75" s="24">
        <f t="shared" si="38"/>
        <v>40.171602027438496</v>
      </c>
      <c r="I75" s="25">
        <f t="shared" si="39"/>
        <v>39.716559459999786</v>
      </c>
      <c r="K75">
        <v>67</v>
      </c>
      <c r="L75" s="18">
        <f t="shared" si="16"/>
        <v>1.1693705988362006</v>
      </c>
      <c r="M75" s="26">
        <f t="shared" si="40"/>
        <v>51.463893895086358</v>
      </c>
      <c r="N75" s="20">
        <f t="shared" si="41"/>
        <v>51.735601072859026</v>
      </c>
      <c r="O75" s="21">
        <f t="shared" si="42"/>
        <v>51.883529583210247</v>
      </c>
      <c r="P75" s="22">
        <f t="shared" si="43"/>
        <v>52.154228748345702</v>
      </c>
      <c r="Q75" s="23">
        <f t="shared" si="44"/>
        <v>52.448797122478709</v>
      </c>
      <c r="R75" s="24">
        <f t="shared" si="45"/>
        <v>52.742596958842228</v>
      </c>
      <c r="S75" s="25">
        <f t="shared" si="46"/>
        <v>53.425160810000307</v>
      </c>
    </row>
    <row r="76" spans="1:19">
      <c r="A76">
        <v>68</v>
      </c>
      <c r="B76" s="18">
        <f t="shared" si="32"/>
        <v>1.1868238913561442</v>
      </c>
      <c r="C76" s="19">
        <f t="shared" si="33"/>
        <v>40.621637276725096</v>
      </c>
      <c r="D76" s="20">
        <f t="shared" si="34"/>
        <v>40.437956395624639</v>
      </c>
      <c r="E76" s="21">
        <f t="shared" si="35"/>
        <v>40.337954653835482</v>
      </c>
      <c r="F76" s="22">
        <f t="shared" si="36"/>
        <v>40.154961235009921</v>
      </c>
      <c r="G76" s="23">
        <f t="shared" si="37"/>
        <v>39.955836561488809</v>
      </c>
      <c r="H76" s="24">
        <f t="shared" si="38"/>
        <v>39.757235962593313</v>
      </c>
      <c r="I76" s="25">
        <f t="shared" si="39"/>
        <v>39.295859059833333</v>
      </c>
      <c r="K76">
        <v>68</v>
      </c>
      <c r="L76" s="18">
        <f t="shared" ref="L76:L98" si="47">K76 *PI() / 180</f>
        <v>1.1868238913561442</v>
      </c>
      <c r="M76" s="26">
        <f t="shared" si="40"/>
        <v>51.067544084912413</v>
      </c>
      <c r="N76" s="20">
        <f t="shared" si="41"/>
        <v>51.343065406563028</v>
      </c>
      <c r="O76" s="21">
        <f t="shared" si="42"/>
        <v>51.493068019246778</v>
      </c>
      <c r="P76" s="22">
        <f t="shared" si="43"/>
        <v>51.767558147485147</v>
      </c>
      <c r="Q76" s="23">
        <f t="shared" si="44"/>
        <v>52.066245157766787</v>
      </c>
      <c r="R76" s="24">
        <f t="shared" si="45"/>
        <v>52.36414605611003</v>
      </c>
      <c r="S76" s="25">
        <f t="shared" si="46"/>
        <v>53.056211410250057</v>
      </c>
    </row>
    <row r="77" spans="1:19">
      <c r="A77">
        <v>69</v>
      </c>
      <c r="B77" s="18">
        <f t="shared" si="32"/>
        <v>1.2042771838760873</v>
      </c>
      <c r="C77" s="19">
        <f t="shared" si="33"/>
        <v>40.16185082613265</v>
      </c>
      <c r="D77" s="20">
        <f t="shared" si="34"/>
        <v>39.975685747447073</v>
      </c>
      <c r="E77" s="21">
        <f t="shared" si="35"/>
        <v>39.874333184491746</v>
      </c>
      <c r="F77" s="22">
        <f t="shared" si="36"/>
        <v>39.688870908517316</v>
      </c>
      <c r="G77" s="23">
        <f t="shared" si="37"/>
        <v>39.487064158355082</v>
      </c>
      <c r="H77" s="24">
        <f t="shared" si="38"/>
        <v>39.285793109954255</v>
      </c>
      <c r="I77" s="25">
        <f t="shared" si="39"/>
        <v>38.818229902731161</v>
      </c>
      <c r="K77">
        <v>69</v>
      </c>
      <c r="L77" s="18">
        <f t="shared" si="47"/>
        <v>1.2042771838760873</v>
      </c>
      <c r="M77" s="26">
        <f t="shared" si="40"/>
        <v>50.757223760801082</v>
      </c>
      <c r="N77" s="20">
        <f t="shared" si="41"/>
        <v>51.03647137882939</v>
      </c>
      <c r="O77" s="21">
        <f t="shared" si="42"/>
        <v>51.188500223262338</v>
      </c>
      <c r="P77" s="22">
        <f t="shared" si="43"/>
        <v>51.466693637224012</v>
      </c>
      <c r="Q77" s="23">
        <f t="shared" si="44"/>
        <v>51.769403762467448</v>
      </c>
      <c r="R77" s="24">
        <f t="shared" si="45"/>
        <v>52.071310335068631</v>
      </c>
      <c r="S77" s="25">
        <f t="shared" si="46"/>
        <v>52.772655145903286</v>
      </c>
    </row>
    <row r="78" spans="1:19">
      <c r="A78">
        <v>70</v>
      </c>
      <c r="B78" s="18">
        <f t="shared" si="32"/>
        <v>1.2217304763960306</v>
      </c>
      <c r="C78" s="19">
        <f t="shared" si="33"/>
        <v>39.643166746678844</v>
      </c>
      <c r="D78" s="20">
        <f t="shared" si="34"/>
        <v>39.454581348399614</v>
      </c>
      <c r="E78" s="21">
        <f t="shared" si="35"/>
        <v>39.35191276301461</v>
      </c>
      <c r="F78" s="22">
        <f t="shared" si="36"/>
        <v>39.164045347029457</v>
      </c>
      <c r="G78" s="23">
        <f t="shared" si="37"/>
        <v>38.95962591060001</v>
      </c>
      <c r="H78" s="24">
        <f t="shared" si="38"/>
        <v>38.755753678225659</v>
      </c>
      <c r="I78" s="25">
        <f t="shared" si="39"/>
        <v>38.282165298285349</v>
      </c>
      <c r="K78">
        <v>70</v>
      </c>
      <c r="L78" s="18">
        <f t="shared" si="47"/>
        <v>1.2217304763960306</v>
      </c>
      <c r="M78" s="26">
        <f t="shared" si="40"/>
        <v>50.535249879981734</v>
      </c>
      <c r="N78" s="20">
        <f t="shared" si="41"/>
        <v>50.818127977400593</v>
      </c>
      <c r="O78" s="21">
        <f t="shared" si="42"/>
        <v>50.972130855478099</v>
      </c>
      <c r="P78" s="22">
        <f t="shared" si="43"/>
        <v>51.253931979455842</v>
      </c>
      <c r="Q78" s="23">
        <f t="shared" si="44"/>
        <v>51.560561134099999</v>
      </c>
      <c r="R78" s="24">
        <f t="shared" si="45"/>
        <v>51.866369482661526</v>
      </c>
      <c r="S78" s="25">
        <f t="shared" si="46"/>
        <v>52.576752052571919</v>
      </c>
    </row>
    <row r="79" spans="1:19">
      <c r="A79">
        <v>71</v>
      </c>
      <c r="B79" s="18">
        <f t="shared" si="32"/>
        <v>1.2391837689159739</v>
      </c>
      <c r="C79" s="19">
        <f t="shared" si="33"/>
        <v>39.064050292280797</v>
      </c>
      <c r="D79" s="20">
        <f t="shared" si="34"/>
        <v>38.87311390056729</v>
      </c>
      <c r="E79" s="21">
        <f t="shared" si="35"/>
        <v>38.76916704943622</v>
      </c>
      <c r="F79" s="22">
        <f t="shared" si="36"/>
        <v>38.578963608389728</v>
      </c>
      <c r="G79" s="23">
        <f t="shared" si="37"/>
        <v>38.372006727818075</v>
      </c>
      <c r="H79" s="24">
        <f t="shared" si="38"/>
        <v>38.165608390713146</v>
      </c>
      <c r="I79" s="25">
        <f t="shared" si="39"/>
        <v>37.68616938906456</v>
      </c>
      <c r="K79">
        <v>71</v>
      </c>
      <c r="L79" s="18">
        <f t="shared" si="47"/>
        <v>1.2391837689159739</v>
      </c>
      <c r="M79" s="26">
        <f t="shared" si="40"/>
        <v>50.403924561578833</v>
      </c>
      <c r="N79" s="20">
        <f t="shared" si="41"/>
        <v>50.690329149149079</v>
      </c>
      <c r="O79" s="21">
        <f t="shared" si="42"/>
        <v>50.846249425845713</v>
      </c>
      <c r="P79" s="22">
        <f t="shared" si="43"/>
        <v>51.131554587415394</v>
      </c>
      <c r="Q79" s="23">
        <f t="shared" si="44"/>
        <v>51.441989908272888</v>
      </c>
      <c r="R79" s="24">
        <f t="shared" si="45"/>
        <v>51.751587413930338</v>
      </c>
      <c r="S79" s="25">
        <f t="shared" si="46"/>
        <v>52.470745916403132</v>
      </c>
    </row>
    <row r="80" spans="1:19">
      <c r="A80">
        <v>72</v>
      </c>
      <c r="B80" s="18">
        <f t="shared" si="32"/>
        <v>1.2566370614359172</v>
      </c>
      <c r="C80" s="19">
        <f t="shared" si="33"/>
        <v>38.422982124808527</v>
      </c>
      <c r="D80" s="20">
        <f t="shared" si="34"/>
        <v>38.229769624023191</v>
      </c>
      <c r="E80" s="21">
        <f t="shared" si="35"/>
        <v>38.124585281052589</v>
      </c>
      <c r="F80" s="22">
        <f t="shared" si="36"/>
        <v>37.932120435033312</v>
      </c>
      <c r="G80" s="23">
        <f t="shared" si="37"/>
        <v>37.722707319320733</v>
      </c>
      <c r="H80" s="24">
        <f t="shared" si="38"/>
        <v>37.513863883549533</v>
      </c>
      <c r="I80" s="25">
        <f t="shared" si="39"/>
        <v>37.028762486732603</v>
      </c>
      <c r="K80">
        <v>72</v>
      </c>
      <c r="L80" s="18">
        <f t="shared" si="47"/>
        <v>1.2566370614359172</v>
      </c>
      <c r="M80" s="26">
        <f t="shared" si="40"/>
        <v>50.365526812787152</v>
      </c>
      <c r="N80" s="20">
        <f t="shared" si="41"/>
        <v>50.655345563965227</v>
      </c>
      <c r="O80" s="21">
        <f t="shared" si="42"/>
        <v>50.813122078421145</v>
      </c>
      <c r="P80" s="22">
        <f t="shared" si="43"/>
        <v>51.101819347450032</v>
      </c>
      <c r="Q80" s="23">
        <f t="shared" si="44"/>
        <v>51.415939021018914</v>
      </c>
      <c r="R80" s="24">
        <f t="shared" si="45"/>
        <v>51.729204174675715</v>
      </c>
      <c r="S80" s="25">
        <f t="shared" si="46"/>
        <v>52.456856269901039</v>
      </c>
    </row>
    <row r="81" spans="1:19">
      <c r="A81">
        <v>73</v>
      </c>
      <c r="B81" s="18">
        <f t="shared" si="32"/>
        <v>1.2740903539558606</v>
      </c>
      <c r="C81" s="19">
        <f t="shared" si="33"/>
        <v>37.718464158103245</v>
      </c>
      <c r="D81" s="20">
        <f t="shared" si="34"/>
        <v>37.523056072237807</v>
      </c>
      <c r="E81" s="21">
        <f t="shared" si="35"/>
        <v>37.416678072303711</v>
      </c>
      <c r="F81" s="22">
        <f t="shared" si="36"/>
        <v>37.222032025531576</v>
      </c>
      <c r="G81" s="23">
        <f t="shared" si="37"/>
        <v>37.010249934968044</v>
      </c>
      <c r="H81" s="24">
        <f t="shared" si="38"/>
        <v>36.799048416022003</v>
      </c>
      <c r="I81" s="25">
        <f t="shared" si="39"/>
        <v>36.308486711992572</v>
      </c>
      <c r="K81">
        <v>73</v>
      </c>
      <c r="L81" s="18">
        <f t="shared" si="47"/>
        <v>1.2740903539558606</v>
      </c>
      <c r="M81" s="26">
        <f t="shared" si="40"/>
        <v>50.422303762845104</v>
      </c>
      <c r="N81" s="20">
        <f t="shared" si="41"/>
        <v>50.715415891643261</v>
      </c>
      <c r="O81" s="21">
        <f t="shared" si="42"/>
        <v>50.874982891544448</v>
      </c>
      <c r="P81" s="22">
        <f t="shared" si="43"/>
        <v>51.166951961702694</v>
      </c>
      <c r="Q81" s="23">
        <f t="shared" si="44"/>
        <v>51.484625097548019</v>
      </c>
      <c r="R81" s="24">
        <f t="shared" si="45"/>
        <v>51.801427375966966</v>
      </c>
      <c r="S81" s="25">
        <f t="shared" si="46"/>
        <v>52.537269932011156</v>
      </c>
    </row>
    <row r="82" spans="1:19">
      <c r="A82">
        <v>74</v>
      </c>
      <c r="B82" s="18">
        <f t="shared" si="32"/>
        <v>1.2915436464758039</v>
      </c>
      <c r="C82" s="19">
        <f t="shared" si="33"/>
        <v>36.949025700215657</v>
      </c>
      <c r="D82" s="20">
        <f t="shared" si="34"/>
        <v>36.751508242302549</v>
      </c>
      <c r="E82" s="21">
        <f t="shared" si="35"/>
        <v>36.64398350762562</v>
      </c>
      <c r="F82" s="22">
        <f t="shared" si="36"/>
        <v>36.447242095765091</v>
      </c>
      <c r="G82" s="23">
        <f t="shared" si="37"/>
        <v>36.233184392029358</v>
      </c>
      <c r="H82" s="24">
        <f>4*ASIN(SIN(A82*PI()/180)/$H$4)*180/PI() - 2*A82</f>
        <v>36.01971786337424</v>
      </c>
      <c r="I82" s="25">
        <f t="shared" si="39"/>
        <v>35.523911908900971</v>
      </c>
      <c r="K82">
        <v>74</v>
      </c>
      <c r="L82" s="18">
        <f t="shared" si="47"/>
        <v>1.2915436464758039</v>
      </c>
      <c r="M82" s="26">
        <f t="shared" si="40"/>
        <v>50.576461449676572</v>
      </c>
      <c r="N82" s="20">
        <f t="shared" si="41"/>
        <v>50.872737636546219</v>
      </c>
      <c r="O82" s="21">
        <f t="shared" si="42"/>
        <v>51.034024738561527</v>
      </c>
      <c r="P82" s="22">
        <f t="shared" si="43"/>
        <v>51.329136856352363</v>
      </c>
      <c r="Q82" s="23">
        <f t="shared" si="44"/>
        <v>51.650223411955949</v>
      </c>
      <c r="R82" s="24">
        <f t="shared" si="45"/>
        <v>51.970423204938641</v>
      </c>
      <c r="S82" s="25">
        <f t="shared" si="46"/>
        <v>52.714132136648516</v>
      </c>
    </row>
    <row r="83" spans="1:19">
      <c r="A83">
        <v>75</v>
      </c>
      <c r="B83" s="18">
        <f t="shared" si="32"/>
        <v>1.3089969389957472</v>
      </c>
      <c r="C83" s="19">
        <f t="shared" si="33"/>
        <v>36.113229856260261</v>
      </c>
      <c r="D83" s="20">
        <f t="shared" si="34"/>
        <v>35.913694942497131</v>
      </c>
      <c r="E83" s="21">
        <f t="shared" si="35"/>
        <v>35.805073489881238</v>
      </c>
      <c r="F83" s="22">
        <f t="shared" si="36"/>
        <v>35.606328192471381</v>
      </c>
      <c r="G83" s="23">
        <f t="shared" si="37"/>
        <v>35.39009435096969</v>
      </c>
      <c r="H83" s="24">
        <f t="shared" si="38"/>
        <v>35.174461955135428</v>
      </c>
      <c r="I83" s="25">
        <f t="shared" si="39"/>
        <v>34.673641796959743</v>
      </c>
      <c r="K83">
        <v>75</v>
      </c>
      <c r="L83" s="18">
        <f t="shared" si="47"/>
        <v>1.3089969389957472</v>
      </c>
      <c r="M83" s="26">
        <f t="shared" si="40"/>
        <v>50.830155215609636</v>
      </c>
      <c r="N83" s="20">
        <f t="shared" si="41"/>
        <v>51.129457586254375</v>
      </c>
      <c r="O83" s="21">
        <f t="shared" si="42"/>
        <v>51.292389765178143</v>
      </c>
      <c r="P83" s="22">
        <f t="shared" si="43"/>
        <v>51.590507711292901</v>
      </c>
      <c r="Q83" s="23">
        <f t="shared" si="44"/>
        <v>51.914858473545507</v>
      </c>
      <c r="R83" s="24">
        <f t="shared" si="45"/>
        <v>52.238307067296887</v>
      </c>
      <c r="S83" s="25">
        <f t="shared" si="46"/>
        <v>52.989537304560429</v>
      </c>
    </row>
    <row r="84" spans="1:19">
      <c r="A84">
        <v>76</v>
      </c>
      <c r="B84" s="18">
        <f t="shared" si="32"/>
        <v>1.3264502315156903</v>
      </c>
      <c r="C84" s="19">
        <f t="shared" si="33"/>
        <v>35.209680146441769</v>
      </c>
      <c r="D84" s="20">
        <f t="shared" si="34"/>
        <v>35.008225371984906</v>
      </c>
      <c r="E84" s="21">
        <f t="shared" si="35"/>
        <v>34.898560299275147</v>
      </c>
      <c r="F84" s="22">
        <f t="shared" si="36"/>
        <v>34.697908214294159</v>
      </c>
      <c r="G84" s="23">
        <f t="shared" si="37"/>
        <v>34.479603795532427</v>
      </c>
      <c r="H84" s="24">
        <f t="shared" si="38"/>
        <v>34.261910714587884</v>
      </c>
      <c r="I84" s="25">
        <f t="shared" si="39"/>
        <v>33.756320317161794</v>
      </c>
      <c r="K84">
        <v>76</v>
      </c>
      <c r="L84" s="18">
        <f t="shared" si="47"/>
        <v>1.3264502315156903</v>
      </c>
      <c r="M84" s="26">
        <f t="shared" si="40"/>
        <v>51.185479780337346</v>
      </c>
      <c r="N84" s="20">
        <f t="shared" si="41"/>
        <v>51.487661942022669</v>
      </c>
      <c r="O84" s="21">
        <f t="shared" si="42"/>
        <v>51.652159551087266</v>
      </c>
      <c r="P84" s="22">
        <f t="shared" si="43"/>
        <v>51.953137678558733</v>
      </c>
      <c r="Q84" s="23">
        <f t="shared" si="44"/>
        <v>52.280594306701403</v>
      </c>
      <c r="R84" s="24">
        <f t="shared" si="45"/>
        <v>52.607133928118174</v>
      </c>
      <c r="S84" s="25">
        <f t="shared" si="46"/>
        <v>53.365519524257309</v>
      </c>
    </row>
    <row r="85" spans="1:19">
      <c r="A85">
        <v>77</v>
      </c>
      <c r="B85" s="18">
        <f t="shared" si="32"/>
        <v>1.3439035240356338</v>
      </c>
      <c r="C85" s="19">
        <f t="shared" si="33"/>
        <v>34.23702728602953</v>
      </c>
      <c r="D85" s="20">
        <f t="shared" si="34"/>
        <v>34.03375585972438</v>
      </c>
      <c r="E85" s="21">
        <f t="shared" si="35"/>
        <v>33.923103310012749</v>
      </c>
      <c r="F85" s="22">
        <f t="shared" si="36"/>
        <v>33.720647087910123</v>
      </c>
      <c r="G85" s="23">
        <f t="shared" si="37"/>
        <v>33.500383665033326</v>
      </c>
      <c r="H85" s="24">
        <f t="shared" si="38"/>
        <v>33.280741047626066</v>
      </c>
      <c r="I85" s="25">
        <f t="shared" si="39"/>
        <v>32.770638121023154</v>
      </c>
      <c r="K85">
        <v>77</v>
      </c>
      <c r="L85" s="18">
        <f t="shared" si="47"/>
        <v>1.3439035240356338</v>
      </c>
      <c r="M85" s="26">
        <f t="shared" si="40"/>
        <v>51.644459070955691</v>
      </c>
      <c r="N85" s="20">
        <f t="shared" si="41"/>
        <v>51.949366210413416</v>
      </c>
      <c r="O85" s="21">
        <f t="shared" si="42"/>
        <v>52.115345034980919</v>
      </c>
      <c r="P85" s="22">
        <f t="shared" si="43"/>
        <v>52.419029368134829</v>
      </c>
      <c r="Q85" s="23">
        <f t="shared" si="44"/>
        <v>52.749424502449983</v>
      </c>
      <c r="R85" s="24">
        <f t="shared" si="45"/>
        <v>53.078888428560902</v>
      </c>
      <c r="S85" s="25">
        <f t="shared" si="46"/>
        <v>53.844042818465255</v>
      </c>
    </row>
    <row r="86" spans="1:19">
      <c r="A86">
        <v>78</v>
      </c>
      <c r="B86" s="18">
        <f t="shared" si="32"/>
        <v>1.3613568165555769</v>
      </c>
      <c r="C86" s="19">
        <f t="shared" si="33"/>
        <v>33.193976066553034</v>
      </c>
      <c r="D86" s="20">
        <f t="shared" si="34"/>
        <v>32.988996702282776</v>
      </c>
      <c r="E86" s="21">
        <f t="shared" si="35"/>
        <v>32.877415804611019</v>
      </c>
      <c r="F86" s="22">
        <f>4*ASIN(SIN(A86*PI()/180)/$F$4)*180/PI() - 2*A86</f>
        <v>32.673263539543086</v>
      </c>
      <c r="G86" s="23">
        <f t="shared" si="37"/>
        <v>32.45115857961477</v>
      </c>
      <c r="H86" s="24">
        <f t="shared" si="38"/>
        <v>32.229683422190192</v>
      </c>
      <c r="I86" s="25">
        <f t="shared" si="39"/>
        <v>31.715339144784366</v>
      </c>
      <c r="K86">
        <v>78</v>
      </c>
      <c r="L86" s="18">
        <f t="shared" si="47"/>
        <v>1.3613568165555769</v>
      </c>
      <c r="M86" s="26">
        <f t="shared" si="40"/>
        <v>52.20903590017042</v>
      </c>
      <c r="N86" s="20">
        <f t="shared" si="41"/>
        <v>52.516504946575822</v>
      </c>
      <c r="O86" s="21">
        <f t="shared" si="42"/>
        <v>52.683876293083472</v>
      </c>
      <c r="P86" s="22">
        <f t="shared" si="43"/>
        <v>52.990104690685314</v>
      </c>
      <c r="Q86" s="23">
        <f t="shared" si="44"/>
        <v>53.323262130577916</v>
      </c>
      <c r="R86" s="24">
        <f t="shared" si="45"/>
        <v>53.655474866714712</v>
      </c>
      <c r="S86" s="25">
        <f t="shared" si="46"/>
        <v>54.426991282823451</v>
      </c>
    </row>
    <row r="87" spans="1:19">
      <c r="A87">
        <v>79</v>
      </c>
      <c r="B87" s="18">
        <f t="shared" si="32"/>
        <v>1.3788101090755203</v>
      </c>
      <c r="C87" s="19">
        <f t="shared" si="33"/>
        <v>32.07929227052216</v>
      </c>
      <c r="D87" s="20">
        <f t="shared" si="34"/>
        <v>31.872719033356077</v>
      </c>
      <c r="E87" s="21">
        <f t="shared" si="35"/>
        <v>31.760271818938605</v>
      </c>
      <c r="F87" s="22">
        <f t="shared" si="36"/>
        <v>31.55453689544143</v>
      </c>
      <c r="G87" s="23">
        <f t="shared" si="37"/>
        <v>31.330713592571783</v>
      </c>
      <c r="H87" s="24">
        <f t="shared" si="38"/>
        <v>31.107528572919108</v>
      </c>
      <c r="I87" s="25">
        <f t="shared" si="39"/>
        <v>30.589227204645709</v>
      </c>
      <c r="K87">
        <v>79</v>
      </c>
      <c r="L87" s="18">
        <f t="shared" si="47"/>
        <v>1.3788101090755203</v>
      </c>
      <c r="M87" s="26">
        <f t="shared" si="40"/>
        <v>52.88106159421676</v>
      </c>
      <c r="N87" s="20">
        <f t="shared" si="41"/>
        <v>53.190921449965913</v>
      </c>
      <c r="O87" s="21">
        <f t="shared" si="42"/>
        <v>53.359592271592135</v>
      </c>
      <c r="P87" s="22">
        <f t="shared" si="43"/>
        <v>53.668194656837898</v>
      </c>
      <c r="Q87" s="23">
        <f t="shared" si="44"/>
        <v>54.003929611142382</v>
      </c>
      <c r="R87" s="24">
        <f t="shared" si="45"/>
        <v>54.338707140621295</v>
      </c>
      <c r="S87" s="25">
        <f t="shared" si="46"/>
        <v>55.116159193031422</v>
      </c>
    </row>
    <row r="88" spans="1:19">
      <c r="A88">
        <v>80</v>
      </c>
      <c r="B88" s="18">
        <f t="shared" si="32"/>
        <v>1.3962634015954636</v>
      </c>
      <c r="C88" s="19">
        <f t="shared" si="33"/>
        <v>30.891809545798708</v>
      </c>
      <c r="D88" s="20">
        <f t="shared" si="34"/>
        <v>30.683761651715685</v>
      </c>
      <c r="E88" s="21">
        <f t="shared" si="35"/>
        <v>30.570512945026337</v>
      </c>
      <c r="F88" s="22">
        <f t="shared" si="36"/>
        <v>30.363313838942048</v>
      </c>
      <c r="G88" s="23">
        <f t="shared" si="37"/>
        <v>30.137900898003778</v>
      </c>
      <c r="H88" s="24">
        <f t="shared" si="38"/>
        <v>29.913134159896572</v>
      </c>
      <c r="I88" s="25">
        <f t="shared" si="39"/>
        <v>29.391172543339991</v>
      </c>
      <c r="K88">
        <v>80</v>
      </c>
      <c r="L88" s="18">
        <f t="shared" si="47"/>
        <v>1.3962634015954636</v>
      </c>
      <c r="M88" s="26">
        <f t="shared" si="40"/>
        <v>53.662285681301967</v>
      </c>
      <c r="N88" s="20">
        <f t="shared" si="41"/>
        <v>53.97435752242643</v>
      </c>
      <c r="O88" s="21">
        <f t="shared" si="42"/>
        <v>54.144230582460523</v>
      </c>
      <c r="P88" s="22">
        <f t="shared" si="43"/>
        <v>54.455029241586885</v>
      </c>
      <c r="Q88" s="23">
        <f t="shared" si="44"/>
        <v>54.793148652994319</v>
      </c>
      <c r="R88" s="24">
        <f t="shared" si="45"/>
        <v>55.130298760155142</v>
      </c>
      <c r="S88" s="25">
        <f t="shared" si="46"/>
        <v>55.91324118499</v>
      </c>
    </row>
    <row r="89" spans="1:19">
      <c r="A89">
        <v>81</v>
      </c>
      <c r="B89" s="18">
        <f t="shared" si="32"/>
        <v>1.4137166941154069</v>
      </c>
      <c r="C89" s="19">
        <f t="shared" si="33"/>
        <v>29.630436160630552</v>
      </c>
      <c r="D89" s="20">
        <f t="shared" si="34"/>
        <v>29.421037729267653</v>
      </c>
      <c r="E89" s="21">
        <f t="shared" si="35"/>
        <v>29.307055013697351</v>
      </c>
      <c r="F89" s="22">
        <f t="shared" si="36"/>
        <v>29.098515046833711</v>
      </c>
      <c r="G89" s="23">
        <f t="shared" si="37"/>
        <v>28.871646417219438</v>
      </c>
      <c r="H89" s="24">
        <f t="shared" si="38"/>
        <v>28.645431305627397</v>
      </c>
      <c r="I89" s="25">
        <f>4*ASIN(SIN(A89*PI()/180)/$I$4)*180/PI() - 2*A89</f>
        <v>28.120118253793692</v>
      </c>
      <c r="K89">
        <v>81</v>
      </c>
      <c r="L89" s="18">
        <f t="shared" si="47"/>
        <v>1.4137166941154069</v>
      </c>
      <c r="M89" s="26">
        <f t="shared" si="40"/>
        <v>54.554345759054172</v>
      </c>
      <c r="N89" s="20">
        <f t="shared" si="41"/>
        <v>54.868443406098493</v>
      </c>
      <c r="O89" s="21">
        <f t="shared" si="42"/>
        <v>55.039417479453959</v>
      </c>
      <c r="P89" s="22">
        <f t="shared" si="43"/>
        <v>55.352227429749405</v>
      </c>
      <c r="Q89" s="23">
        <f t="shared" si="44"/>
        <v>55.692530374170872</v>
      </c>
      <c r="R89" s="24">
        <f t="shared" si="45"/>
        <v>56.031853041558918</v>
      </c>
      <c r="S89" s="25">
        <f t="shared" si="46"/>
        <v>56.819822619309434</v>
      </c>
    </row>
    <row r="90" spans="1:19">
      <c r="A90">
        <v>82</v>
      </c>
      <c r="B90" s="18">
        <f t="shared" si="32"/>
        <v>1.43116998663535</v>
      </c>
      <c r="C90" s="19">
        <f t="shared" si="33"/>
        <v>28.294161556566024</v>
      </c>
      <c r="D90" s="20">
        <f t="shared" si="34"/>
        <v>28.083541317183943</v>
      </c>
      <c r="E90" s="21">
        <f t="shared" si="35"/>
        <v>27.968894575379665</v>
      </c>
      <c r="F90" s="22">
        <f t="shared" si="36"/>
        <v>27.759141624112686</v>
      </c>
      <c r="G90" s="23">
        <f t="shared" si="37"/>
        <v>27.530956183774236</v>
      </c>
      <c r="H90" s="24">
        <f t="shared" si="38"/>
        <v>27.303430930899253</v>
      </c>
      <c r="I90" s="25">
        <f t="shared" si="39"/>
        <v>26.775086502310018</v>
      </c>
      <c r="K90">
        <v>82</v>
      </c>
      <c r="L90" s="18">
        <f t="shared" si="47"/>
        <v>1.43116998663535</v>
      </c>
      <c r="M90" s="26">
        <f t="shared" si="40"/>
        <v>55.558757665150949</v>
      </c>
      <c r="N90" s="20">
        <f t="shared" si="41"/>
        <v>55.874688024224099</v>
      </c>
      <c r="O90" s="21">
        <f t="shared" si="42"/>
        <v>56.046658136930489</v>
      </c>
      <c r="P90" s="22">
        <f t="shared" si="43"/>
        <v>56.361287563830956</v>
      </c>
      <c r="Q90" s="23">
        <f t="shared" si="44"/>
        <v>56.703565724338716</v>
      </c>
      <c r="R90" s="24">
        <f t="shared" si="45"/>
        <v>57.04485360365112</v>
      </c>
      <c r="S90" s="25">
        <f t="shared" si="46"/>
        <v>57.837370246534988</v>
      </c>
    </row>
    <row r="91" spans="1:19">
      <c r="A91">
        <v>83</v>
      </c>
      <c r="B91" s="18">
        <f t="shared" si="32"/>
        <v>1.4486232791552935</v>
      </c>
      <c r="C91" s="19">
        <f t="shared" si="33"/>
        <v>26.882062614233519</v>
      </c>
      <c r="D91" s="20">
        <f t="shared" si="34"/>
        <v>26.670353565889343</v>
      </c>
      <c r="E91" s="21">
        <f t="shared" si="35"/>
        <v>26.555115095314591</v>
      </c>
      <c r="F91" s="22">
        <f t="shared" si="36"/>
        <v>26.344281254125491</v>
      </c>
      <c r="G91" s="23">
        <f t="shared" si="37"/>
        <v>26.114922444979271</v>
      </c>
      <c r="H91" s="24">
        <f t="shared" si="38"/>
        <v>25.886229808199971</v>
      </c>
      <c r="I91" s="25">
        <f>4*ASIN(SIN(A91*PI()/180)/$I$4)*180/PI() - 2*A91</f>
        <v>25.355184471841511</v>
      </c>
      <c r="K91">
        <v>83</v>
      </c>
      <c r="L91" s="18">
        <f t="shared" si="47"/>
        <v>1.4486232791552935</v>
      </c>
      <c r="M91" s="26">
        <f t="shared" si="40"/>
        <v>56.676906078649722</v>
      </c>
      <c r="N91" s="20">
        <f t="shared" si="41"/>
        <v>56.994469651165957</v>
      </c>
      <c r="O91" s="21">
        <f t="shared" si="42"/>
        <v>57.167327357028171</v>
      </c>
      <c r="P91" s="22">
        <f t="shared" si="43"/>
        <v>57.483578118811749</v>
      </c>
      <c r="Q91" s="23">
        <f t="shared" si="44"/>
        <v>57.827616332531136</v>
      </c>
      <c r="R91" s="24">
        <f t="shared" si="45"/>
        <v>58.170655287700015</v>
      </c>
      <c r="S91" s="25">
        <f t="shared" si="46"/>
        <v>58.967223292237748</v>
      </c>
    </row>
    <row r="92" spans="1:19">
      <c r="A92">
        <v>84</v>
      </c>
      <c r="B92" s="18">
        <f t="shared" si="32"/>
        <v>1.4660765716752369</v>
      </c>
      <c r="C92" s="19">
        <f t="shared" si="33"/>
        <v>25.393309546503275</v>
      </c>
      <c r="D92" s="20">
        <f t="shared" si="34"/>
        <v>25.180648574250512</v>
      </c>
      <c r="E92" s="21">
        <f t="shared" si="35"/>
        <v>25.064892778956533</v>
      </c>
      <c r="F92" s="22">
        <f t="shared" si="36"/>
        <v>24.853113980710276</v>
      </c>
      <c r="G92" s="23">
        <f t="shared" si="37"/>
        <v>24.622729397368687</v>
      </c>
      <c r="H92" s="24">
        <f t="shared" si="38"/>
        <v>24.393016251043775</v>
      </c>
      <c r="I92" s="25">
        <f t="shared" si="39"/>
        <v>23.859609945679665</v>
      </c>
      <c r="K92">
        <v>84</v>
      </c>
      <c r="L92" s="18">
        <f t="shared" si="47"/>
        <v>1.4660765716752369</v>
      </c>
      <c r="M92" s="26">
        <f t="shared" si="40"/>
        <v>57.910035680245073</v>
      </c>
      <c r="N92" s="20">
        <f t="shared" si="41"/>
        <v>58.229027138624247</v>
      </c>
      <c r="O92" s="21">
        <f t="shared" si="42"/>
        <v>58.402660831565186</v>
      </c>
      <c r="P92" s="22">
        <f t="shared" si="43"/>
        <v>58.7203290289346</v>
      </c>
      <c r="Q92" s="23">
        <f t="shared" si="44"/>
        <v>59.065905903946941</v>
      </c>
      <c r="R92" s="24">
        <f t="shared" si="45"/>
        <v>59.410475623434309</v>
      </c>
      <c r="S92" s="25">
        <f t="shared" si="46"/>
        <v>60.210585081480531</v>
      </c>
    </row>
    <row r="93" spans="1:19">
      <c r="A93">
        <v>85</v>
      </c>
      <c r="B93" s="18">
        <f t="shared" si="32"/>
        <v>1.4835298641951802</v>
      </c>
      <c r="C93" s="19">
        <f t="shared" si="33"/>
        <v>23.827171335004607</v>
      </c>
      <c r="D93" s="20">
        <f t="shared" si="34"/>
        <v>23.613698784783537</v>
      </c>
      <c r="E93" s="21">
        <f t="shared" si="35"/>
        <v>23.497501944835619</v>
      </c>
      <c r="F93" s="22">
        <f t="shared" si="36"/>
        <v>23.284917540432929</v>
      </c>
      <c r="G93" s="23">
        <f t="shared" si="37"/>
        <v>23.053658475111206</v>
      </c>
      <c r="H93" s="24">
        <f t="shared" si="38"/>
        <v>22.823075359066763</v>
      </c>
      <c r="I93" s="25">
        <f t="shared" si="39"/>
        <v>22.287656453417696</v>
      </c>
      <c r="K93">
        <v>85</v>
      </c>
      <c r="L93" s="18">
        <f t="shared" si="47"/>
        <v>1.4835298641951802</v>
      </c>
      <c r="M93" s="26">
        <f t="shared" si="40"/>
        <v>59.259242997493118</v>
      </c>
      <c r="N93" s="20">
        <f t="shared" si="41"/>
        <v>59.579451822824694</v>
      </c>
      <c r="O93" s="21">
        <f t="shared" si="42"/>
        <v>59.753747082746543</v>
      </c>
      <c r="P93" s="22">
        <f t="shared" si="43"/>
        <v>60.072623689350564</v>
      </c>
      <c r="Q93" s="23">
        <f t="shared" si="44"/>
        <v>60.419512287333191</v>
      </c>
      <c r="R93" s="24">
        <f t="shared" si="45"/>
        <v>60.765386961399884</v>
      </c>
      <c r="S93" s="25">
        <f t="shared" si="46"/>
        <v>61.568515319873427</v>
      </c>
    </row>
    <row r="94" spans="1:19">
      <c r="A94">
        <v>86</v>
      </c>
      <c r="B94" s="18">
        <f t="shared" si="32"/>
        <v>1.5009831567151233</v>
      </c>
      <c r="C94" s="19">
        <f t="shared" si="33"/>
        <v>22.18302062944494</v>
      </c>
      <c r="D94" s="20">
        <f t="shared" si="34"/>
        <v>21.968879845155584</v>
      </c>
      <c r="E94" s="21">
        <f t="shared" si="35"/>
        <v>21.852319865606006</v>
      </c>
      <c r="F94" s="22">
        <f t="shared" si="36"/>
        <v>21.639072166452706</v>
      </c>
      <c r="G94" s="23">
        <f t="shared" si="37"/>
        <v>21.407093113773129</v>
      </c>
      <c r="H94" s="24">
        <f t="shared" si="38"/>
        <v>21.175793742161488</v>
      </c>
      <c r="I94" s="25">
        <f t="shared" si="39"/>
        <v>20.638717904417462</v>
      </c>
      <c r="K94">
        <v>86</v>
      </c>
      <c r="L94" s="18">
        <f t="shared" si="47"/>
        <v>1.5009831567151233</v>
      </c>
      <c r="M94" s="26">
        <f t="shared" si="40"/>
        <v>60.725469055832605</v>
      </c>
      <c r="N94" s="20">
        <f t="shared" si="41"/>
        <v>61.046680232266567</v>
      </c>
      <c r="O94" s="21">
        <f t="shared" si="42"/>
        <v>61.221520201590977</v>
      </c>
      <c r="P94" s="22">
        <f t="shared" si="43"/>
        <v>61.541391750320997</v>
      </c>
      <c r="Q94" s="23">
        <f t="shared" si="44"/>
        <v>61.88936032934032</v>
      </c>
      <c r="R94" s="24">
        <f t="shared" si="45"/>
        <v>62.236309386757739</v>
      </c>
      <c r="S94" s="25">
        <f t="shared" si="46"/>
        <v>63.041923143373822</v>
      </c>
    </row>
    <row r="95" spans="1:19">
      <c r="A95">
        <v>87</v>
      </c>
      <c r="B95" s="18">
        <f t="shared" si="32"/>
        <v>1.5184364492350666</v>
      </c>
      <c r="C95" s="19">
        <f t="shared" si="33"/>
        <v>20.460338034701948</v>
      </c>
      <c r="D95" s="20">
        <f t="shared" si="34"/>
        <v>20.245674861740042</v>
      </c>
      <c r="E95" s="21">
        <f t="shared" si="35"/>
        <v>20.128831003464029</v>
      </c>
      <c r="F95" s="22">
        <f t="shared" si="36"/>
        <v>19.91506479097535</v>
      </c>
      <c r="G95" s="23">
        <f t="shared" si="37"/>
        <v>19.682522917222713</v>
      </c>
      <c r="H95" s="24">
        <f t="shared" si="38"/>
        <v>19.450663652256651</v>
      </c>
      <c r="I95" s="25">
        <f t="shared" si="39"/>
        <v>18.912292639249813</v>
      </c>
      <c r="K95">
        <v>87</v>
      </c>
      <c r="L95" s="18">
        <f t="shared" si="47"/>
        <v>1.5184364492350666</v>
      </c>
      <c r="M95" s="26">
        <f t="shared" si="40"/>
        <v>62.309492947947035</v>
      </c>
      <c r="N95" s="20">
        <f t="shared" si="41"/>
        <v>62.631487707389908</v>
      </c>
      <c r="O95" s="21">
        <f t="shared" si="42"/>
        <v>62.8067534948039</v>
      </c>
      <c r="P95" s="22">
        <f t="shared" si="43"/>
        <v>63.127402813536946</v>
      </c>
      <c r="Q95" s="23">
        <f t="shared" si="44"/>
        <v>63.476215624165889</v>
      </c>
      <c r="R95" s="24">
        <f t="shared" si="45"/>
        <v>63.824004521615052</v>
      </c>
      <c r="S95" s="25">
        <f t="shared" si="46"/>
        <v>64.631561041125281</v>
      </c>
    </row>
    <row r="96" spans="1:19">
      <c r="A96">
        <v>88</v>
      </c>
      <c r="B96" s="18">
        <f t="shared" si="32"/>
        <v>1.5358897417550099</v>
      </c>
      <c r="C96" s="19">
        <f t="shared" si="33"/>
        <v>18.65871571817226</v>
      </c>
      <c r="D96" s="20">
        <f t="shared" si="34"/>
        <v>18.443677978432845</v>
      </c>
      <c r="E96" s="21">
        <f t="shared" si="35"/>
        <v>18.326630573537329</v>
      </c>
      <c r="F96" s="22">
        <f t="shared" si="36"/>
        <v>18.112492580600019</v>
      </c>
      <c r="G96" s="23">
        <f t="shared" si="37"/>
        <v>17.879547162742142</v>
      </c>
      <c r="H96" s="24">
        <f>4*ASIN(SIN(A96*PI()/180)/$H$4)*180/PI() - 2*A96</f>
        <v>17.647286458559932</v>
      </c>
      <c r="I96" s="25">
        <f>4*ASIN(SIN(A96*PI()/180)/$I$4)*180/PI() - 2*A96</f>
        <v>17.107986836631483</v>
      </c>
      <c r="K96">
        <v>88</v>
      </c>
      <c r="L96" s="18">
        <f t="shared" si="47"/>
        <v>1.5358897417550099</v>
      </c>
      <c r="M96" s="26">
        <f t="shared" si="40"/>
        <v>64.01192642274151</v>
      </c>
      <c r="N96" s="20">
        <f t="shared" si="41"/>
        <v>64.334483032350761</v>
      </c>
      <c r="O96" s="21">
        <f t="shared" si="42"/>
        <v>64.510054139694034</v>
      </c>
      <c r="P96" s="22">
        <f t="shared" si="43"/>
        <v>64.831261129099971</v>
      </c>
      <c r="Q96" s="23">
        <f t="shared" si="44"/>
        <v>65.180679255886787</v>
      </c>
      <c r="R96" s="24">
        <f t="shared" si="45"/>
        <v>65.529070312160115</v>
      </c>
      <c r="S96" s="25">
        <f t="shared" si="46"/>
        <v>66.338019745052748</v>
      </c>
    </row>
    <row r="97" spans="1:19">
      <c r="A97">
        <v>89</v>
      </c>
      <c r="B97" s="18">
        <f t="shared" si="32"/>
        <v>1.5533430342749535</v>
      </c>
      <c r="C97" s="19">
        <f t="shared" si="33"/>
        <v>16.777860279250149</v>
      </c>
      <c r="D97" s="20">
        <f t="shared" si="34"/>
        <v>16.562597223234576</v>
      </c>
      <c r="E97" s="21">
        <f t="shared" si="35"/>
        <v>16.445427378086237</v>
      </c>
      <c r="F97" s="22">
        <f t="shared" si="36"/>
        <v>16.231065748022331</v>
      </c>
      <c r="G97" s="23">
        <f t="shared" si="37"/>
        <v>15.997877588474125</v>
      </c>
      <c r="H97" s="24">
        <f t="shared" si="38"/>
        <v>15.765375411043948</v>
      </c>
      <c r="I97" s="25">
        <f t="shared" si="39"/>
        <v>15.225517222127763</v>
      </c>
      <c r="K97">
        <v>89</v>
      </c>
      <c r="L97" s="18">
        <f t="shared" si="47"/>
        <v>1.5533430342749535</v>
      </c>
      <c r="M97" s="26">
        <f t="shared" si="40"/>
        <v>65.833209581124777</v>
      </c>
      <c r="N97" s="20">
        <f t="shared" si="41"/>
        <v>66.156104165148179</v>
      </c>
      <c r="O97" s="21">
        <f t="shared" si="42"/>
        <v>66.331858932870659</v>
      </c>
      <c r="P97" s="22">
        <f t="shared" si="43"/>
        <v>66.653401377966475</v>
      </c>
      <c r="Q97" s="23">
        <f t="shared" si="44"/>
        <v>67.003183617288869</v>
      </c>
      <c r="R97" s="24">
        <f t="shared" si="45"/>
        <v>67.351936883434121</v>
      </c>
      <c r="S97" s="25">
        <f t="shared" si="46"/>
        <v>68.161724166808369</v>
      </c>
    </row>
    <row r="98" spans="1:19">
      <c r="A98">
        <v>90</v>
      </c>
      <c r="B98" s="18">
        <f t="shared" si="32"/>
        <v>1.5707963267948966</v>
      </c>
      <c r="C98" s="19">
        <f t="shared" si="33"/>
        <v>14.817594833842918</v>
      </c>
      <c r="D98" s="20">
        <f t="shared" si="34"/>
        <v>14.602256576024274</v>
      </c>
      <c r="E98" s="21">
        <f t="shared" si="35"/>
        <v>14.485045865226141</v>
      </c>
      <c r="F98" s="22">
        <f t="shared" si="36"/>
        <v>14.27060959430716</v>
      </c>
      <c r="G98" s="23">
        <f t="shared" si="37"/>
        <v>14.037340417961246</v>
      </c>
      <c r="H98" s="24">
        <f t="shared" si="38"/>
        <v>13.804757647470211</v>
      </c>
      <c r="I98" s="25">
        <f t="shared" si="39"/>
        <v>13.264713035132729</v>
      </c>
      <c r="K98">
        <v>90</v>
      </c>
      <c r="L98" s="18">
        <f t="shared" si="47"/>
        <v>1.5707963267948966</v>
      </c>
      <c r="M98" s="26">
        <f t="shared" si="40"/>
        <v>67.773607749235623</v>
      </c>
      <c r="N98" s="20">
        <f t="shared" si="41"/>
        <v>68.096615135963589</v>
      </c>
      <c r="O98" s="21">
        <f t="shared" si="42"/>
        <v>68.27243120216076</v>
      </c>
      <c r="P98" s="22">
        <f t="shared" si="43"/>
        <v>68.594085608539274</v>
      </c>
      <c r="Q98" s="23">
        <f t="shared" si="44"/>
        <v>68.943989373058173</v>
      </c>
      <c r="R98" s="24">
        <f t="shared" si="45"/>
        <v>69.292863528794726</v>
      </c>
      <c r="S98" s="25">
        <f t="shared" si="46"/>
        <v>70.102930447300935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9839-8E8B-4ED6-BA0C-80FFF68564A5}">
  <dimension ref="A1:BH98"/>
  <sheetViews>
    <sheetView topLeftCell="A100" zoomScale="107" zoomScaleNormal="107" workbookViewId="0">
      <selection activeCell="J4" sqref="J4"/>
    </sheetView>
  </sheetViews>
  <sheetFormatPr defaultRowHeight="14.45"/>
  <cols>
    <col min="1" max="1" width="10" bestFit="1" customWidth="1"/>
    <col min="2" max="2" width="9.28515625" customWidth="1"/>
    <col min="3" max="3" width="11.140625" style="8" bestFit="1" customWidth="1"/>
    <col min="4" max="4" width="13.5703125" bestFit="1" customWidth="1"/>
    <col min="5" max="5" width="13.28515625" bestFit="1" customWidth="1"/>
    <col min="6" max="6" width="12.5703125" bestFit="1" customWidth="1"/>
    <col min="7" max="7" width="11.5703125" bestFit="1" customWidth="1"/>
    <col min="8" max="8" width="11.140625" bestFit="1" customWidth="1"/>
    <col min="9" max="9" width="12.140625" bestFit="1" customWidth="1"/>
    <col min="10" max="12" width="8.85546875" customWidth="1"/>
    <col min="14" max="15" width="11.140625" bestFit="1" customWidth="1"/>
    <col min="21" max="21" width="14.7109375" bestFit="1" customWidth="1"/>
    <col min="22" max="22" width="17.28515625" bestFit="1" customWidth="1"/>
    <col min="23" max="23" width="12.42578125" bestFit="1" customWidth="1"/>
    <col min="26" max="26" width="13.42578125" bestFit="1" customWidth="1"/>
    <col min="31" max="33" width="12.42578125" bestFit="1" customWidth="1"/>
    <col min="36" max="36" width="12.42578125" bestFit="1" customWidth="1"/>
    <col min="44" max="44" width="9.42578125" bestFit="1" customWidth="1"/>
    <col min="47" max="49" width="12.42578125" bestFit="1" customWidth="1"/>
    <col min="52" max="52" width="12.42578125" bestFit="1" customWidth="1"/>
    <col min="60" max="60" width="9.42578125" bestFit="1" customWidth="1"/>
  </cols>
  <sheetData>
    <row r="1" spans="1:60" ht="18">
      <c r="A1" s="17" t="s">
        <v>16</v>
      </c>
      <c r="K1" s="17" t="s">
        <v>17</v>
      </c>
      <c r="U1" s="17" t="s">
        <v>16</v>
      </c>
      <c r="Z1" s="17" t="s">
        <v>17</v>
      </c>
      <c r="AD1" t="s">
        <v>39</v>
      </c>
      <c r="AL1" t="s">
        <v>40</v>
      </c>
      <c r="AT1" t="s">
        <v>39</v>
      </c>
      <c r="BB1" t="s">
        <v>40</v>
      </c>
    </row>
    <row r="2" spans="1:60" s="28" customFormat="1">
      <c r="C2" s="29" t="s">
        <v>18</v>
      </c>
      <c r="D2" s="30" t="s">
        <v>19</v>
      </c>
      <c r="E2" s="31" t="s">
        <v>20</v>
      </c>
      <c r="F2" s="32" t="s">
        <v>21</v>
      </c>
      <c r="G2" s="33" t="s">
        <v>22</v>
      </c>
      <c r="H2" s="34" t="s">
        <v>23</v>
      </c>
      <c r="I2" s="35" t="s">
        <v>24</v>
      </c>
      <c r="M2" s="29" t="s">
        <v>25</v>
      </c>
      <c r="N2" s="30" t="s">
        <v>26</v>
      </c>
      <c r="O2" s="31" t="s">
        <v>27</v>
      </c>
      <c r="P2" s="32" t="s">
        <v>28</v>
      </c>
      <c r="Q2" s="33" t="s">
        <v>29</v>
      </c>
      <c r="R2" s="34" t="s">
        <v>30</v>
      </c>
      <c r="S2" s="35" t="s">
        <v>31</v>
      </c>
      <c r="U2" s="28" t="s">
        <v>41</v>
      </c>
      <c r="V2" s="28" t="s">
        <v>42</v>
      </c>
      <c r="W2" s="28" t="s">
        <v>43</v>
      </c>
      <c r="X2" s="28" t="s">
        <v>44</v>
      </c>
      <c r="Z2" s="28" t="s">
        <v>45</v>
      </c>
      <c r="AA2" s="28" t="s">
        <v>46</v>
      </c>
      <c r="AD2" s="36" t="s">
        <v>47</v>
      </c>
      <c r="AE2" s="37" t="s">
        <v>48</v>
      </c>
      <c r="AF2" s="38" t="s">
        <v>49</v>
      </c>
      <c r="AG2" s="39" t="s">
        <v>50</v>
      </c>
      <c r="AH2" s="40" t="s">
        <v>51</v>
      </c>
      <c r="AI2" s="41" t="s">
        <v>52</v>
      </c>
      <c r="AJ2" s="42" t="s">
        <v>53</v>
      </c>
      <c r="AL2" s="36" t="s">
        <v>54</v>
      </c>
      <c r="AM2" s="37" t="s">
        <v>55</v>
      </c>
      <c r="AN2" s="38" t="s">
        <v>56</v>
      </c>
      <c r="AO2" s="39" t="s">
        <v>57</v>
      </c>
      <c r="AP2" s="40" t="s">
        <v>29</v>
      </c>
      <c r="AQ2" s="41" t="s">
        <v>30</v>
      </c>
      <c r="AR2" s="42" t="s">
        <v>31</v>
      </c>
      <c r="AT2" s="36" t="s">
        <v>47</v>
      </c>
      <c r="AU2" s="37" t="s">
        <v>48</v>
      </c>
      <c r="AV2" s="38" t="s">
        <v>49</v>
      </c>
      <c r="AW2" s="39" t="s">
        <v>50</v>
      </c>
      <c r="AX2" s="40" t="s">
        <v>51</v>
      </c>
      <c r="AY2" s="41" t="s">
        <v>52</v>
      </c>
      <c r="AZ2" s="42" t="s">
        <v>53</v>
      </c>
      <c r="BB2" s="36" t="s">
        <v>54</v>
      </c>
      <c r="BC2" s="37" t="s">
        <v>55</v>
      </c>
      <c r="BD2" s="38" t="s">
        <v>56</v>
      </c>
      <c r="BE2" s="39" t="s">
        <v>57</v>
      </c>
      <c r="BF2" s="40" t="s">
        <v>29</v>
      </c>
      <c r="BG2" s="41" t="s">
        <v>30</v>
      </c>
      <c r="BH2" s="42" t="s">
        <v>31</v>
      </c>
    </row>
    <row r="3" spans="1:60">
      <c r="B3" t="s">
        <v>32</v>
      </c>
      <c r="C3" s="9">
        <v>442.5</v>
      </c>
      <c r="D3" s="10">
        <v>495</v>
      </c>
      <c r="E3" s="11">
        <v>520</v>
      </c>
      <c r="F3" s="12">
        <v>565</v>
      </c>
      <c r="G3" s="13">
        <v>610</v>
      </c>
      <c r="H3" s="14">
        <v>650</v>
      </c>
      <c r="I3" s="15">
        <v>755</v>
      </c>
      <c r="L3" t="s">
        <v>32</v>
      </c>
      <c r="M3" s="9">
        <v>442.5</v>
      </c>
      <c r="N3" s="10">
        <v>495</v>
      </c>
      <c r="O3" s="11">
        <v>520</v>
      </c>
      <c r="P3" s="12">
        <v>565</v>
      </c>
      <c r="Q3" s="13">
        <v>610</v>
      </c>
      <c r="R3" s="14">
        <v>650</v>
      </c>
      <c r="S3" s="15">
        <v>755</v>
      </c>
      <c r="U3" s="2">
        <v>405</v>
      </c>
      <c r="V3" s="1">
        <f xml:space="preserve"> SQRT(1 + 1/SQRT(1.731 - 0.261*(U3/1000)^2))</f>
        <v>1.330279348645736</v>
      </c>
      <c r="W3" s="1">
        <f>ASIN(SQRT((4 - V3^2)/3))*180/PI()</f>
        <v>59.568665082082276</v>
      </c>
      <c r="X3">
        <f>4*ASIN(SIN(W3*PI()/180)/V3)*180/PI() - 2*W3</f>
        <v>42.475400444162688</v>
      </c>
      <c r="Z3">
        <f>ASIN(SQRT((9 - V3^2)/8))*180/PI()</f>
        <v>71.93052769509346</v>
      </c>
      <c r="AA3">
        <f>180 - 6*ASIN(SIN(Z3*PI()/180)/V3)*180/PI() + 2*Z3</f>
        <v>50.175030542860696</v>
      </c>
      <c r="AD3">
        <v>42.475400444162688</v>
      </c>
      <c r="AL3">
        <v>50.175030542860696</v>
      </c>
    </row>
    <row r="4" spans="1:60">
      <c r="B4" t="s">
        <v>33</v>
      </c>
      <c r="C4" s="9">
        <v>1.331</v>
      </c>
      <c r="D4" s="10">
        <v>1.3321000000000001</v>
      </c>
      <c r="E4" s="11">
        <v>1.3327</v>
      </c>
      <c r="F4" s="12">
        <v>1.3338000000000001</v>
      </c>
      <c r="G4" s="13">
        <v>1.335</v>
      </c>
      <c r="H4" s="14">
        <v>1.3362000000000001</v>
      </c>
      <c r="I4" s="15">
        <v>1.339</v>
      </c>
      <c r="L4" t="s">
        <v>33</v>
      </c>
      <c r="M4" s="9">
        <v>1.331</v>
      </c>
      <c r="N4" s="10">
        <v>1.3321000000000001</v>
      </c>
      <c r="O4" s="11">
        <v>1.3327</v>
      </c>
      <c r="P4" s="12">
        <v>1.3338000000000001</v>
      </c>
      <c r="Q4" s="13">
        <v>1.335</v>
      </c>
      <c r="R4" s="14">
        <v>1.3362000000000001</v>
      </c>
      <c r="S4" s="15">
        <v>1.339</v>
      </c>
      <c r="U4" s="2">
        <v>410</v>
      </c>
      <c r="V4" s="1">
        <f t="shared" ref="V4:V67" si="0" xml:space="preserve"> SQRT(1 + 1/SQRT(1.731 - 0.261*(U4/1000)^2))</f>
        <v>1.3303705127529164</v>
      </c>
      <c r="W4" s="1">
        <f t="shared" ref="W4:W67" si="1">ASIN(SQRT((4 - V4^2)/3))*180/PI()</f>
        <v>59.563361736117237</v>
      </c>
      <c r="X4">
        <f t="shared" ref="X4:X67" si="2">4*ASIN(SIN(W4*PI()/180)/V4)*180/PI() - 2*W4</f>
        <v>42.462034020079344</v>
      </c>
      <c r="Z4">
        <f t="shared" ref="Z4:Z67" si="3">ASIN(SQRT((9 - V4^2)/8))*180/PI()</f>
        <v>71.927582262385286</v>
      </c>
      <c r="AA4">
        <f t="shared" ref="AA4:AA67" si="4">180 - 6*ASIN(SIN(Z4*PI()/180)/V4)*180/PI() + 2*Z4</f>
        <v>50.199097217677803</v>
      </c>
      <c r="AD4">
        <v>42.462034020079344</v>
      </c>
      <c r="AL4">
        <v>50.199097217677803</v>
      </c>
    </row>
    <row r="5" spans="1:60">
      <c r="U5" s="2">
        <v>415</v>
      </c>
      <c r="V5" s="1">
        <f t="shared" si="0"/>
        <v>1.330462876907792</v>
      </c>
      <c r="W5" s="1">
        <f t="shared" si="1"/>
        <v>59.557988766292908</v>
      </c>
      <c r="X5">
        <f t="shared" si="2"/>
        <v>42.44849546805716</v>
      </c>
      <c r="Z5">
        <f t="shared" si="3"/>
        <v>71.924598274151165</v>
      </c>
      <c r="AA5">
        <f t="shared" si="4"/>
        <v>50.223474737200007</v>
      </c>
      <c r="AD5">
        <v>42.44849546805716</v>
      </c>
      <c r="AL5">
        <v>50.223474737200007</v>
      </c>
    </row>
    <row r="6" spans="1:60" s="28" customFormat="1">
      <c r="A6" s="28" t="s">
        <v>34</v>
      </c>
      <c r="B6" s="28" t="s">
        <v>35</v>
      </c>
      <c r="C6" s="43" t="s">
        <v>36</v>
      </c>
      <c r="D6" s="28" t="s">
        <v>36</v>
      </c>
      <c r="E6" s="28" t="s">
        <v>36</v>
      </c>
      <c r="F6" s="28" t="s">
        <v>36</v>
      </c>
      <c r="G6" s="28" t="s">
        <v>36</v>
      </c>
      <c r="H6" s="28" t="s">
        <v>36</v>
      </c>
      <c r="I6" s="28" t="s">
        <v>36</v>
      </c>
      <c r="K6" s="28" t="s">
        <v>34</v>
      </c>
      <c r="L6" s="28" t="s">
        <v>35</v>
      </c>
      <c r="M6" s="43" t="s">
        <v>36</v>
      </c>
      <c r="N6" s="28" t="s">
        <v>36</v>
      </c>
      <c r="O6" s="28" t="s">
        <v>36</v>
      </c>
      <c r="P6" s="28" t="s">
        <v>36</v>
      </c>
      <c r="Q6" s="28" t="s">
        <v>36</v>
      </c>
      <c r="R6" s="28" t="s">
        <v>36</v>
      </c>
      <c r="S6" s="28" t="s">
        <v>36</v>
      </c>
      <c r="U6" s="36">
        <v>420</v>
      </c>
      <c r="V6" s="44">
        <f t="shared" si="0"/>
        <v>1.3305564442172819</v>
      </c>
      <c r="W6" s="44">
        <f t="shared" si="1"/>
        <v>59.552545998978033</v>
      </c>
      <c r="X6" s="28">
        <f t="shared" si="2"/>
        <v>42.434784481250404</v>
      </c>
      <c r="Z6" s="28">
        <f t="shared" si="3"/>
        <v>71.921575638411539</v>
      </c>
      <c r="AA6" s="28">
        <f t="shared" si="4"/>
        <v>50.248163689897098</v>
      </c>
      <c r="AD6" s="28">
        <v>42.434784481250404</v>
      </c>
      <c r="AL6" s="28">
        <v>50.248163689897098</v>
      </c>
    </row>
    <row r="7" spans="1:60" s="28" customFormat="1">
      <c r="A7" s="28" t="s">
        <v>37</v>
      </c>
      <c r="B7" s="28" t="s">
        <v>38</v>
      </c>
      <c r="C7" s="29" t="s">
        <v>18</v>
      </c>
      <c r="D7" s="30" t="s">
        <v>19</v>
      </c>
      <c r="E7" s="31" t="s">
        <v>20</v>
      </c>
      <c r="F7" s="32" t="s">
        <v>21</v>
      </c>
      <c r="G7" s="33" t="s">
        <v>22</v>
      </c>
      <c r="H7" s="34" t="s">
        <v>23</v>
      </c>
      <c r="I7" s="35" t="s">
        <v>24</v>
      </c>
      <c r="K7" s="28" t="s">
        <v>37</v>
      </c>
      <c r="L7" s="28" t="s">
        <v>38</v>
      </c>
      <c r="M7" s="29" t="s">
        <v>25</v>
      </c>
      <c r="N7" s="30" t="s">
        <v>26</v>
      </c>
      <c r="O7" s="31" t="s">
        <v>27</v>
      </c>
      <c r="P7" s="32" t="s">
        <v>28</v>
      </c>
      <c r="Q7" s="33" t="s">
        <v>29</v>
      </c>
      <c r="R7" s="34" t="s">
        <v>30</v>
      </c>
      <c r="S7" s="35" t="s">
        <v>31</v>
      </c>
      <c r="U7" s="36">
        <v>425</v>
      </c>
      <c r="V7" s="44">
        <f t="shared" si="0"/>
        <v>1.3306512178339036</v>
      </c>
      <c r="W7" s="44">
        <f t="shared" si="1"/>
        <v>59.547033257991018</v>
      </c>
      <c r="X7" s="28">
        <f t="shared" si="2"/>
        <v>42.420900748489913</v>
      </c>
      <c r="Z7" s="28">
        <f>ASIN(SQRT((9 - V7^2)/8))*180/PI()</f>
        <v>71.918514261844962</v>
      </c>
      <c r="AA7" s="28">
        <f t="shared" si="4"/>
        <v>50.273164672599592</v>
      </c>
      <c r="AD7" s="28">
        <v>42.420900748489913</v>
      </c>
      <c r="AL7" s="28">
        <v>50.273164672599592</v>
      </c>
    </row>
    <row r="8" spans="1:60">
      <c r="A8">
        <v>0</v>
      </c>
      <c r="B8" s="18">
        <f t="shared" ref="B8:B39" si="5">A8 *PI() / 180</f>
        <v>0</v>
      </c>
      <c r="C8" s="19">
        <f t="shared" ref="C8:C39" si="6">4*ASIN(SIN(A8*PI()/180)/$C$4)*180/PI() - 2*A8</f>
        <v>0</v>
      </c>
      <c r="D8" s="20">
        <f t="shared" ref="D8:D39" si="7">4*ASIN(SIN(A8*PI()/180)/$D$4)*180/PI() - 2*A8</f>
        <v>0</v>
      </c>
      <c r="E8" s="21">
        <f t="shared" ref="E8:E39" si="8">4*ASIN(SIN(A8*PI()/180)/$E$4)*180/PI() - 2*A8</f>
        <v>0</v>
      </c>
      <c r="F8" s="22">
        <f t="shared" ref="F8:F39" si="9">4*ASIN(SIN(A8*PI()/180)/$F$4)*180/PI() - 2*A8</f>
        <v>0</v>
      </c>
      <c r="G8" s="23">
        <f t="shared" ref="G8:G39" si="10">4*ASIN(SIN(A8*PI()/180)/$G$4)*180/PI() - 2*A8</f>
        <v>0</v>
      </c>
      <c r="H8" s="24">
        <f t="shared" ref="H8:H39" si="11">4*ASIN(SIN(A8*PI()/180)/$H$4)*180/PI() - 2*A8</f>
        <v>0</v>
      </c>
      <c r="I8" s="25">
        <f t="shared" ref="I8:I39" si="12">4*ASIN(SIN(A8*PI()/180)/$I$4)*180/PI() - 2*A8</f>
        <v>0</v>
      </c>
      <c r="K8">
        <v>0</v>
      </c>
      <c r="L8" s="18">
        <f t="shared" ref="L8:L10" si="13">K8 *PI() / 180</f>
        <v>0</v>
      </c>
      <c r="M8" s="26">
        <f t="shared" ref="M8:M39" si="14">180 - 6*ASIN(SIN(A8*PI()/180)/$M$4)*180/PI() + 2*A8</f>
        <v>180</v>
      </c>
      <c r="N8" s="20">
        <f t="shared" ref="N8:N39" si="15">180 - 6*ASIN(SIN(A8*PI()/180)/$N$4)*180/PI() + 2*A8</f>
        <v>180</v>
      </c>
      <c r="O8" s="21">
        <f t="shared" ref="O8:O39" si="16">180 - 6*ASIN(SIN(A8*PI()/180)/$O$4)*180/PI() + 2*A8</f>
        <v>180</v>
      </c>
      <c r="P8" s="22">
        <f t="shared" ref="P8:P39" si="17">180 - 6*ASIN(SIN(A8*PI()/180)/$P$4)*180/PI() + 2*A8</f>
        <v>180</v>
      </c>
      <c r="Q8" s="23">
        <f t="shared" ref="Q8:Q39" si="18">180 - 6*ASIN(SIN(A8*PI()/180)/$Q$4)*180/PI() + 2*A8</f>
        <v>180</v>
      </c>
      <c r="R8" s="24">
        <f t="shared" ref="R8:R39" si="19">180 - 6*ASIN(SIN(A8*PI()/180)/$R$4)*180/PI() + 2*A8</f>
        <v>180</v>
      </c>
      <c r="S8" s="25">
        <f t="shared" ref="S8:S39" si="20">180 - 6*ASIN(SIN(A8*PI()/180)/$S$4)*180/PI() + 2*A8</f>
        <v>180</v>
      </c>
      <c r="U8" s="2">
        <v>430</v>
      </c>
      <c r="V8" s="1">
        <f t="shared" si="0"/>
        <v>1.3307472009560835</v>
      </c>
      <c r="W8" s="1">
        <f t="shared" si="1"/>
        <v>59.541450364582261</v>
      </c>
      <c r="X8">
        <f t="shared" si="2"/>
        <v>42.406843954260495</v>
      </c>
      <c r="Z8">
        <f t="shared" si="3"/>
        <v>71.915414049778917</v>
      </c>
      <c r="AA8">
        <f t="shared" si="4"/>
        <v>50.298478290546484</v>
      </c>
      <c r="AD8">
        <v>42.406843954260495</v>
      </c>
      <c r="AL8">
        <v>50.298478290546484</v>
      </c>
    </row>
    <row r="9" spans="1:60">
      <c r="A9">
        <v>1</v>
      </c>
      <c r="B9" s="18">
        <f t="shared" si="5"/>
        <v>1.7453292519943295E-2</v>
      </c>
      <c r="C9" s="19">
        <f t="shared" si="6"/>
        <v>1.0051927487739367</v>
      </c>
      <c r="D9" s="20">
        <f t="shared" si="7"/>
        <v>1.0027110272331421</v>
      </c>
      <c r="E9" s="21">
        <f t="shared" si="8"/>
        <v>1.0013590878310654</v>
      </c>
      <c r="F9" s="22">
        <f t="shared" si="9"/>
        <v>0.99888369158394141</v>
      </c>
      <c r="G9" s="23">
        <f t="shared" si="10"/>
        <v>0.99618791214245173</v>
      </c>
      <c r="H9" s="24">
        <f t="shared" si="11"/>
        <v>0.99349697510712565</v>
      </c>
      <c r="I9" s="25">
        <f t="shared" si="12"/>
        <v>0.98723688046357161</v>
      </c>
      <c r="K9">
        <v>1</v>
      </c>
      <c r="L9" s="18">
        <f t="shared" si="13"/>
        <v>1.7453292519943295E-2</v>
      </c>
      <c r="M9" s="26">
        <f t="shared" si="14"/>
        <v>177.4922108768391</v>
      </c>
      <c r="N9" s="20">
        <f t="shared" si="15"/>
        <v>177.49593345915028</v>
      </c>
      <c r="O9" s="21">
        <f t="shared" si="16"/>
        <v>177.49796136825341</v>
      </c>
      <c r="P9" s="22">
        <f t="shared" si="17"/>
        <v>177.50167446262409</v>
      </c>
      <c r="Q9" s="23">
        <f t="shared" si="18"/>
        <v>177.50571813178632</v>
      </c>
      <c r="R9" s="24">
        <f t="shared" si="19"/>
        <v>177.50975453733932</v>
      </c>
      <c r="S9" s="25">
        <f t="shared" si="20"/>
        <v>177.51914467930465</v>
      </c>
      <c r="U9" s="2">
        <v>435</v>
      </c>
      <c r="V9" s="1">
        <f t="shared" si="0"/>
        <v>1.3308443968284747</v>
      </c>
      <c r="W9" s="1">
        <f t="shared" si="1"/>
        <v>59.535797137416274</v>
      </c>
      <c r="X9">
        <f t="shared" si="2"/>
        <v>42.392613778676647</v>
      </c>
      <c r="Z9">
        <f t="shared" si="3"/>
        <v>71.912274906180855</v>
      </c>
      <c r="AA9">
        <f t="shared" si="4"/>
        <v>50.324105157433877</v>
      </c>
      <c r="AD9">
        <v>42.392613778676647</v>
      </c>
      <c r="AL9">
        <v>50.324105157433877</v>
      </c>
      <c r="AT9">
        <v>42.392613778676647</v>
      </c>
      <c r="BB9">
        <v>50.324105157433877</v>
      </c>
    </row>
    <row r="10" spans="1:60">
      <c r="A10">
        <v>2</v>
      </c>
      <c r="B10" s="18">
        <f t="shared" si="5"/>
        <v>3.4906585039886591E-2</v>
      </c>
      <c r="C10" s="19">
        <f t="shared" si="6"/>
        <v>2.0099866694228714</v>
      </c>
      <c r="D10" s="20">
        <f t="shared" si="7"/>
        <v>2.0050227032990779</v>
      </c>
      <c r="E10" s="21">
        <f t="shared" si="8"/>
        <v>2.0023185404525154</v>
      </c>
      <c r="F10" s="22">
        <f t="shared" si="9"/>
        <v>1.997367229502248</v>
      </c>
      <c r="G10" s="23">
        <f t="shared" si="10"/>
        <v>1.9919751083941328</v>
      </c>
      <c r="H10" s="24">
        <f t="shared" si="11"/>
        <v>1.9865926755899288</v>
      </c>
      <c r="I10" s="25">
        <f t="shared" si="12"/>
        <v>1.9740711960670048</v>
      </c>
      <c r="K10">
        <v>2</v>
      </c>
      <c r="L10" s="18">
        <f t="shared" si="13"/>
        <v>3.4906585039886591E-2</v>
      </c>
      <c r="M10" s="26">
        <f t="shared" si="14"/>
        <v>174.98501999586568</v>
      </c>
      <c r="N10" s="20">
        <f t="shared" si="15"/>
        <v>174.99246594505138</v>
      </c>
      <c r="O10" s="21">
        <f t="shared" si="16"/>
        <v>174.99652218932124</v>
      </c>
      <c r="P10" s="22">
        <f t="shared" si="17"/>
        <v>175.00394915574662</v>
      </c>
      <c r="Q10" s="23">
        <f t="shared" si="18"/>
        <v>175.0120373374088</v>
      </c>
      <c r="R10" s="24">
        <f t="shared" si="19"/>
        <v>175.02011098661509</v>
      </c>
      <c r="S10" s="25">
        <f t="shared" si="20"/>
        <v>175.03889320589948</v>
      </c>
      <c r="U10" s="2">
        <v>440</v>
      </c>
      <c r="V10" s="1">
        <f t="shared" si="0"/>
        <v>1.3309428087422792</v>
      </c>
      <c r="W10" s="1">
        <f t="shared" si="1"/>
        <v>59.53007339255371</v>
      </c>
      <c r="X10">
        <f t="shared" si="2"/>
        <v>42.378209897458689</v>
      </c>
      <c r="Z10">
        <f t="shared" si="3"/>
        <v>71.909096733649093</v>
      </c>
      <c r="AA10">
        <f t="shared" si="4"/>
        <v>50.350045895463694</v>
      </c>
      <c r="AD10">
        <v>42.378209897458689</v>
      </c>
      <c r="AL10">
        <v>50.350045895463694</v>
      </c>
    </row>
    <row r="11" spans="1:60">
      <c r="A11">
        <v>3</v>
      </c>
      <c r="B11" s="18">
        <f t="shared" si="5"/>
        <v>5.2359877559829883E-2</v>
      </c>
      <c r="C11" s="19">
        <f t="shared" si="6"/>
        <v>3.013982437994482</v>
      </c>
      <c r="D11" s="20">
        <f t="shared" si="7"/>
        <v>3.0065351815745327</v>
      </c>
      <c r="E11" s="21">
        <f t="shared" si="8"/>
        <v>3.0024782274027721</v>
      </c>
      <c r="F11" s="22">
        <f t="shared" si="9"/>
        <v>2.9950499652144469</v>
      </c>
      <c r="G11" s="23">
        <f t="shared" si="10"/>
        <v>2.9869603784051311</v>
      </c>
      <c r="H11" s="24">
        <f t="shared" si="11"/>
        <v>2.9788853327850635</v>
      </c>
      <c r="I11" s="25">
        <f t="shared" si="12"/>
        <v>2.9600998889082621</v>
      </c>
      <c r="K11">
        <v>3</v>
      </c>
      <c r="L11" s="18">
        <f>K11 *PI() / 180</f>
        <v>5.2359877559829883E-2</v>
      </c>
      <c r="M11" s="26">
        <f t="shared" si="14"/>
        <v>172.47902634300829</v>
      </c>
      <c r="N11" s="20">
        <f t="shared" si="15"/>
        <v>172.49019722763819</v>
      </c>
      <c r="O11" s="21">
        <f t="shared" si="16"/>
        <v>172.49628265889584</v>
      </c>
      <c r="P11" s="22">
        <f t="shared" si="17"/>
        <v>172.50742505217832</v>
      </c>
      <c r="Q11" s="23">
        <f t="shared" si="18"/>
        <v>172.5195594323923</v>
      </c>
      <c r="R11" s="24">
        <f t="shared" si="19"/>
        <v>172.5316720008224</v>
      </c>
      <c r="S11" s="25">
        <f t="shared" si="20"/>
        <v>172.5598501666376</v>
      </c>
      <c r="U11" s="2">
        <v>445</v>
      </c>
      <c r="V11" s="1">
        <f t="shared" si="0"/>
        <v>1.3310424400355754</v>
      </c>
      <c r="W11" s="1">
        <f t="shared" si="1"/>
        <v>59.524278943432726</v>
      </c>
      <c r="X11">
        <f t="shared" si="2"/>
        <v>42.363631981908171</v>
      </c>
      <c r="Z11">
        <f t="shared" si="3"/>
        <v>71.905879433403342</v>
      </c>
      <c r="AA11">
        <f t="shared" si="4"/>
        <v>50.3763011353943</v>
      </c>
      <c r="AD11">
        <v>42.363631981908171</v>
      </c>
      <c r="AL11">
        <v>50.3763011353943</v>
      </c>
    </row>
    <row r="12" spans="1:60">
      <c r="A12">
        <v>4</v>
      </c>
      <c r="B12" s="18">
        <f t="shared" si="5"/>
        <v>6.9813170079773182E-2</v>
      </c>
      <c r="C12" s="19">
        <f t="shared" si="6"/>
        <v>4.0167797380723123</v>
      </c>
      <c r="D12" s="20">
        <f t="shared" si="7"/>
        <v>4.006847623719171</v>
      </c>
      <c r="E12" s="21">
        <f t="shared" si="8"/>
        <v>4.0014370269139246</v>
      </c>
      <c r="F12" s="22">
        <f>4*ASIN(SIN(A12*PI()/180)/$F$4)*180/PI() - 2*A12</f>
        <v>3.991530259632583</v>
      </c>
      <c r="G12" s="23">
        <f t="shared" si="10"/>
        <v>3.9807415221144353</v>
      </c>
      <c r="H12" s="24">
        <f t="shared" si="11"/>
        <v>3.9699721891632951</v>
      </c>
      <c r="I12" s="25">
        <f t="shared" si="12"/>
        <v>3.9449189142253047</v>
      </c>
      <c r="K12">
        <v>4</v>
      </c>
      <c r="L12" s="18">
        <f t="shared" ref="L12:L75" si="21">K12 *PI() / 180</f>
        <v>6.9813170079773182E-2</v>
      </c>
      <c r="M12" s="26">
        <f t="shared" si="14"/>
        <v>169.97483039289153</v>
      </c>
      <c r="N12" s="20">
        <f t="shared" si="15"/>
        <v>169.98972856442123</v>
      </c>
      <c r="O12" s="21">
        <f t="shared" si="16"/>
        <v>169.99784445962911</v>
      </c>
      <c r="P12" s="22">
        <f t="shared" si="17"/>
        <v>170.01270461055111</v>
      </c>
      <c r="Q12" s="23">
        <f t="shared" si="18"/>
        <v>170.02888771682834</v>
      </c>
      <c r="R12" s="24">
        <f t="shared" si="19"/>
        <v>170.04504171625507</v>
      </c>
      <c r="S12" s="25">
        <f t="shared" si="20"/>
        <v>170.08262162866205</v>
      </c>
      <c r="U12" s="2">
        <v>450</v>
      </c>
      <c r="V12" s="1">
        <f t="shared" si="0"/>
        <v>1.3311432940936512</v>
      </c>
      <c r="W12" s="1">
        <f t="shared" si="1"/>
        <v>59.518413600850472</v>
      </c>
      <c r="X12">
        <f t="shared" si="2"/>
        <v>42.348879698883238</v>
      </c>
      <c r="Z12">
        <f t="shared" si="3"/>
        <v>71.90262290527518</v>
      </c>
      <c r="AA12">
        <f t="shared" si="4"/>
        <v>50.402871516591034</v>
      </c>
      <c r="AD12">
        <v>42.348879698883238</v>
      </c>
      <c r="AL12">
        <v>50.402871516591034</v>
      </c>
    </row>
    <row r="13" spans="1:60">
      <c r="A13">
        <v>5</v>
      </c>
      <c r="B13" s="18">
        <f t="shared" si="5"/>
        <v>8.7266462599716474E-2</v>
      </c>
      <c r="C13" s="19">
        <f t="shared" si="6"/>
        <v>5.0179767625206289</v>
      </c>
      <c r="D13" s="20">
        <f t="shared" si="7"/>
        <v>5.0055577018055537</v>
      </c>
      <c r="E13" s="21">
        <f t="shared" si="8"/>
        <v>4.9987923282533249</v>
      </c>
      <c r="F13" s="22">
        <f t="shared" si="9"/>
        <v>4.9864049858537474</v>
      </c>
      <c r="G13" s="23">
        <f t="shared" si="10"/>
        <v>4.972914852913199</v>
      </c>
      <c r="H13" s="24">
        <f t="shared" si="11"/>
        <v>4.9594490019278599</v>
      </c>
      <c r="I13" s="25">
        <f t="shared" si="12"/>
        <v>4.9281227450264513</v>
      </c>
      <c r="K13">
        <v>5</v>
      </c>
      <c r="L13" s="18">
        <f t="shared" si="21"/>
        <v>8.7266462599716474E-2</v>
      </c>
      <c r="M13" s="26">
        <f t="shared" si="14"/>
        <v>167.47303485621904</v>
      </c>
      <c r="N13" s="20">
        <f t="shared" si="15"/>
        <v>167.49166344729167</v>
      </c>
      <c r="O13" s="21">
        <f t="shared" si="16"/>
        <v>167.50181150762</v>
      </c>
      <c r="P13" s="22">
        <f t="shared" si="17"/>
        <v>167.52039252121938</v>
      </c>
      <c r="Q13" s="23">
        <f t="shared" si="18"/>
        <v>167.5406277206302</v>
      </c>
      <c r="R13" s="24">
        <f t="shared" si="19"/>
        <v>167.56082649710822</v>
      </c>
      <c r="S13" s="25">
        <f t="shared" si="20"/>
        <v>167.60781588246033</v>
      </c>
      <c r="U13" s="2">
        <v>455</v>
      </c>
      <c r="V13" s="1">
        <f t="shared" si="0"/>
        <v>1.3312453743493429</v>
      </c>
      <c r="W13" s="1">
        <f t="shared" si="1"/>
        <v>59.512477172943782</v>
      </c>
      <c r="X13">
        <f t="shared" si="2"/>
        <v>42.33395271077309</v>
      </c>
      <c r="Z13">
        <f t="shared" si="3"/>
        <v>71.899327047698463</v>
      </c>
      <c r="AA13">
        <f t="shared" si="4"/>
        <v>50.429757687077569</v>
      </c>
      <c r="AD13">
        <v>42.33395271077309</v>
      </c>
      <c r="AL13">
        <v>50.429757687077569</v>
      </c>
    </row>
    <row r="14" spans="1:60">
      <c r="A14">
        <v>6</v>
      </c>
      <c r="B14" s="18">
        <f t="shared" si="5"/>
        <v>0.10471975511965977</v>
      </c>
      <c r="C14" s="19">
        <f t="shared" si="6"/>
        <v>6.017169712803824</v>
      </c>
      <c r="D14" s="20">
        <f t="shared" si="7"/>
        <v>6.0022610980375219</v>
      </c>
      <c r="E14" s="21">
        <f t="shared" si="8"/>
        <v>5.9941395316612045</v>
      </c>
      <c r="F14" s="22">
        <f t="shared" si="9"/>
        <v>5.9792690295024791</v>
      </c>
      <c r="G14" s="23">
        <f t="shared" si="10"/>
        <v>5.9630746984329654</v>
      </c>
      <c r="H14" s="24">
        <f t="shared" si="11"/>
        <v>5.9469095442529145</v>
      </c>
      <c r="I14" s="25">
        <f t="shared" si="12"/>
        <v>5.9093038743959028</v>
      </c>
      <c r="K14">
        <v>6</v>
      </c>
      <c r="L14" s="18">
        <f t="shared" si="21"/>
        <v>0.10471975511965977</v>
      </c>
      <c r="M14" s="26">
        <f t="shared" si="14"/>
        <v>164.97424543079427</v>
      </c>
      <c r="N14" s="20">
        <f t="shared" si="15"/>
        <v>164.99660835294372</v>
      </c>
      <c r="O14" s="21">
        <f t="shared" si="16"/>
        <v>165.00879070250818</v>
      </c>
      <c r="P14" s="22">
        <f t="shared" si="17"/>
        <v>165.03109645574628</v>
      </c>
      <c r="Q14" s="23">
        <f t="shared" si="18"/>
        <v>165.05538795235054</v>
      </c>
      <c r="R14" s="24">
        <f t="shared" si="19"/>
        <v>165.07963568362064</v>
      </c>
      <c r="S14" s="25">
        <f t="shared" si="20"/>
        <v>165.13604418840615</v>
      </c>
      <c r="U14" s="2">
        <v>460</v>
      </c>
      <c r="V14" s="1">
        <f t="shared" si="0"/>
        <v>1.3313486842833795</v>
      </c>
      <c r="W14" s="1">
        <f t="shared" si="1"/>
        <v>59.506469465169943</v>
      </c>
      <c r="X14">
        <f t="shared" si="2"/>
        <v>42.318850675472646</v>
      </c>
      <c r="Z14">
        <f t="shared" si="3"/>
        <v>71.895991757699392</v>
      </c>
      <c r="AA14">
        <f t="shared" si="4"/>
        <v>50.456960303588914</v>
      </c>
      <c r="AD14">
        <v>42.318850675472646</v>
      </c>
      <c r="AL14">
        <v>50.456960303588914</v>
      </c>
    </row>
    <row r="15" spans="1:60">
      <c r="A15">
        <v>7</v>
      </c>
      <c r="B15" s="18">
        <f t="shared" si="5"/>
        <v>0.12217304763960307</v>
      </c>
      <c r="C15" s="19">
        <f t="shared" si="6"/>
        <v>7.0139522950754127</v>
      </c>
      <c r="D15" s="20">
        <f t="shared" si="7"/>
        <v>6.9965510012568828</v>
      </c>
      <c r="E15" s="21">
        <f t="shared" si="8"/>
        <v>6.9870715450867635</v>
      </c>
      <c r="F15" s="22">
        <f t="shared" si="9"/>
        <v>6.9697147858903108</v>
      </c>
      <c r="G15" s="23">
        <f t="shared" si="10"/>
        <v>6.9508128981713391</v>
      </c>
      <c r="H15" s="24">
        <f t="shared" si="11"/>
        <v>6.9319451033796184</v>
      </c>
      <c r="I15" s="25">
        <f t="shared" si="12"/>
        <v>6.8880523147040371</v>
      </c>
      <c r="K15">
        <v>7</v>
      </c>
      <c r="L15" s="18">
        <f t="shared" si="21"/>
        <v>0.12217304763960307</v>
      </c>
      <c r="M15" s="26">
        <f t="shared" si="14"/>
        <v>162.47907155738687</v>
      </c>
      <c r="N15" s="20">
        <f t="shared" si="15"/>
        <v>162.50517349811469</v>
      </c>
      <c r="O15" s="21">
        <f t="shared" si="16"/>
        <v>162.51939268236984</v>
      </c>
      <c r="P15" s="22">
        <f t="shared" si="17"/>
        <v>162.54542782116454</v>
      </c>
      <c r="Q15" s="23">
        <f t="shared" si="18"/>
        <v>162.57378065274298</v>
      </c>
      <c r="R15" s="24">
        <f t="shared" si="19"/>
        <v>162.60208234493058</v>
      </c>
      <c r="S15" s="25">
        <f t="shared" si="20"/>
        <v>162.66792152794395</v>
      </c>
      <c r="U15" s="2">
        <v>465</v>
      </c>
      <c r="V15" s="1">
        <f t="shared" si="0"/>
        <v>1.3314532274247328</v>
      </c>
      <c r="W15" s="1">
        <f t="shared" si="1"/>
        <v>59.500390280287021</v>
      </c>
      <c r="X15">
        <f t="shared" si="2"/>
        <v>42.303573246355995</v>
      </c>
      <c r="Z15">
        <f t="shared" si="3"/>
        <v>71.892616930886589</v>
      </c>
      <c r="AA15">
        <f t="shared" si="4"/>
        <v>50.484480031624457</v>
      </c>
      <c r="AD15">
        <v>42.303573246355995</v>
      </c>
      <c r="AL15">
        <v>50.484480031624457</v>
      </c>
    </row>
    <row r="16" spans="1:60">
      <c r="A16">
        <v>8</v>
      </c>
      <c r="B16" s="18">
        <f t="shared" si="5"/>
        <v>0.13962634015954636</v>
      </c>
      <c r="C16" s="19">
        <f t="shared" si="6"/>
        <v>8.0079152122352966</v>
      </c>
      <c r="D16" s="20">
        <f t="shared" si="7"/>
        <v>7.9880175994418927</v>
      </c>
      <c r="E16" s="21">
        <f t="shared" si="8"/>
        <v>7.9771782769288713</v>
      </c>
      <c r="F16" s="22">
        <f t="shared" si="9"/>
        <v>7.9573316532034006</v>
      </c>
      <c r="G16" s="23">
        <f t="shared" si="10"/>
        <v>7.9357182971713094</v>
      </c>
      <c r="H16" s="24">
        <f t="shared" si="11"/>
        <v>7.9141439747914113</v>
      </c>
      <c r="I16" s="25">
        <f t="shared" si="12"/>
        <v>7.8639550929561359</v>
      </c>
      <c r="K16">
        <v>8</v>
      </c>
      <c r="L16" s="18">
        <f t="shared" si="21"/>
        <v>0.13962634015954636</v>
      </c>
      <c r="M16" s="26">
        <f t="shared" si="14"/>
        <v>159.98812718164706</v>
      </c>
      <c r="N16" s="20">
        <f t="shared" si="15"/>
        <v>160.01797360083717</v>
      </c>
      <c r="O16" s="21">
        <f t="shared" si="16"/>
        <v>160.03423258460668</v>
      </c>
      <c r="P16" s="22">
        <f t="shared" si="17"/>
        <v>160.06400252019489</v>
      </c>
      <c r="Q16" s="23">
        <f t="shared" si="18"/>
        <v>160.09642255424305</v>
      </c>
      <c r="R16" s="24">
        <f t="shared" si="19"/>
        <v>160.12878403781289</v>
      </c>
      <c r="S16" s="25">
        <f t="shared" si="20"/>
        <v>160.2040673605658</v>
      </c>
      <c r="U16" s="2">
        <v>470</v>
      </c>
      <c r="V16" s="1">
        <f t="shared" si="0"/>
        <v>1.3315590073509738</v>
      </c>
      <c r="W16" s="1">
        <f t="shared" si="1"/>
        <v>59.494239418333656</v>
      </c>
      <c r="X16">
        <f t="shared" si="2"/>
        <v>42.288120072250607</v>
      </c>
      <c r="Z16">
        <f t="shared" si="3"/>
        <v>71.889202461440846</v>
      </c>
      <c r="AA16">
        <f t="shared" si="4"/>
        <v>50.512317545501958</v>
      </c>
      <c r="AD16">
        <v>42.288120072250607</v>
      </c>
      <c r="AL16">
        <v>50.512317545501958</v>
      </c>
    </row>
    <row r="17" spans="1:57">
      <c r="A17">
        <v>9</v>
      </c>
      <c r="B17" s="18">
        <f t="shared" si="5"/>
        <v>0.15707963267948966</v>
      </c>
      <c r="C17" s="19">
        <f t="shared" si="6"/>
        <v>8.9986456511582809</v>
      </c>
      <c r="D17" s="20">
        <f t="shared" si="7"/>
        <v>8.9762475674055757</v>
      </c>
      <c r="E17" s="21">
        <f t="shared" si="8"/>
        <v>8.9640461239921727</v>
      </c>
      <c r="F17" s="22">
        <f t="shared" si="9"/>
        <v>8.9417055209340326</v>
      </c>
      <c r="G17" s="23">
        <f t="shared" si="10"/>
        <v>8.9173762349754284</v>
      </c>
      <c r="H17" s="24">
        <f t="shared" si="11"/>
        <v>8.8930909516951147</v>
      </c>
      <c r="I17" s="25">
        <f t="shared" si="12"/>
        <v>8.8365957415188952</v>
      </c>
      <c r="K17">
        <v>9</v>
      </c>
      <c r="L17" s="18">
        <f t="shared" si="21"/>
        <v>0.15707963267948966</v>
      </c>
      <c r="M17" s="26">
        <f t="shared" si="14"/>
        <v>157.50203152326259</v>
      </c>
      <c r="N17" s="20">
        <f t="shared" si="15"/>
        <v>157.53562864889165</v>
      </c>
      <c r="O17" s="21">
        <f t="shared" si="16"/>
        <v>157.55393081401172</v>
      </c>
      <c r="P17" s="22">
        <f t="shared" si="17"/>
        <v>157.58744171859897</v>
      </c>
      <c r="Q17" s="23">
        <f t="shared" si="18"/>
        <v>157.62393564753685</v>
      </c>
      <c r="R17" s="24">
        <f t="shared" si="19"/>
        <v>157.66036357245733</v>
      </c>
      <c r="S17" s="25">
        <f t="shared" si="20"/>
        <v>157.74510638772165</v>
      </c>
      <c r="U17" s="2">
        <v>475</v>
      </c>
      <c r="V17" s="1">
        <f t="shared" si="0"/>
        <v>1.3316660276886332</v>
      </c>
      <c r="W17" s="1">
        <f t="shared" si="1"/>
        <v>59.488016676608872</v>
      </c>
      <c r="X17">
        <f t="shared" si="2"/>
        <v>42.272490797409901</v>
      </c>
      <c r="Z17">
        <f t="shared" si="3"/>
        <v>71.885748242104938</v>
      </c>
      <c r="AA17">
        <f t="shared" si="4"/>
        <v>50.54047352841269</v>
      </c>
      <c r="AD17">
        <v>42.272490797409901</v>
      </c>
      <c r="AL17">
        <v>50.54047352841269</v>
      </c>
    </row>
    <row r="18" spans="1:57">
      <c r="A18">
        <v>10</v>
      </c>
      <c r="B18" s="18">
        <f t="shared" si="5"/>
        <v>0.17453292519943295</v>
      </c>
      <c r="C18" s="19">
        <f t="shared" si="6"/>
        <v>9.9857267643028074</v>
      </c>
      <c r="D18" s="20">
        <f t="shared" si="7"/>
        <v>9.9608235489079107</v>
      </c>
      <c r="E18" s="21">
        <f t="shared" si="8"/>
        <v>9.9472574538755083</v>
      </c>
      <c r="F18" s="22">
        <f t="shared" si="9"/>
        <v>9.9224182527780158</v>
      </c>
      <c r="G18" s="23">
        <f t="shared" si="10"/>
        <v>9.8953680290825119</v>
      </c>
      <c r="H18" s="24">
        <f t="shared" si="11"/>
        <v>9.868366809040964</v>
      </c>
      <c r="I18" s="25">
        <f t="shared" si="12"/>
        <v>9.8055537834708524</v>
      </c>
      <c r="K18">
        <v>10</v>
      </c>
      <c r="L18" s="18">
        <f t="shared" si="21"/>
        <v>0.17453292519943295</v>
      </c>
      <c r="M18" s="26">
        <f t="shared" si="14"/>
        <v>155.02140985354578</v>
      </c>
      <c r="N18" s="20">
        <f t="shared" si="15"/>
        <v>155.05876467663813</v>
      </c>
      <c r="O18" s="21">
        <f t="shared" si="16"/>
        <v>155.07911381918672</v>
      </c>
      <c r="P18" s="22">
        <f t="shared" si="17"/>
        <v>155.11637262083298</v>
      </c>
      <c r="Q18" s="23">
        <f t="shared" si="18"/>
        <v>155.15694795637623</v>
      </c>
      <c r="R18" s="24">
        <f t="shared" si="19"/>
        <v>155.19744978643854</v>
      </c>
      <c r="S18" s="25">
        <f t="shared" si="20"/>
        <v>155.2916693247937</v>
      </c>
      <c r="U18" s="16">
        <v>480</v>
      </c>
      <c r="V18" s="1">
        <f t="shared" si="0"/>
        <v>1.3317742921135702</v>
      </c>
      <c r="W18" s="1">
        <f t="shared" si="1"/>
        <v>59.481721849651258</v>
      </c>
      <c r="X18">
        <f t="shared" si="2"/>
        <v>42.256685061486351</v>
      </c>
      <c r="Z18">
        <f t="shared" si="3"/>
        <v>71.88225416417302</v>
      </c>
      <c r="AA18">
        <f t="shared" si="4"/>
        <v>50.568948672477347</v>
      </c>
      <c r="AE18" s="27">
        <v>42.256685061486351</v>
      </c>
      <c r="AM18">
        <v>50.568948672477347</v>
      </c>
      <c r="AU18" s="27">
        <v>42.256685061486351</v>
      </c>
      <c r="BC18">
        <v>50.568948672477347</v>
      </c>
    </row>
    <row r="19" spans="1:57">
      <c r="A19">
        <v>11</v>
      </c>
      <c r="B19" s="18">
        <f t="shared" si="5"/>
        <v>0.19198621771937624</v>
      </c>
      <c r="C19" s="19">
        <f t="shared" si="6"/>
        <v>10.968737144916126</v>
      </c>
      <c r="D19" s="20">
        <f t="shared" si="7"/>
        <v>10.941323632403737</v>
      </c>
      <c r="E19" s="21">
        <f t="shared" si="8"/>
        <v>10.92639008101709</v>
      </c>
      <c r="F19" s="22">
        <f t="shared" si="9"/>
        <v>10.899047163227912</v>
      </c>
      <c r="G19" s="23">
        <f t="shared" si="10"/>
        <v>10.869270452142615</v>
      </c>
      <c r="H19" s="24">
        <f t="shared" si="11"/>
        <v>10.839547781323432</v>
      </c>
      <c r="I19" s="25">
        <f t="shared" si="12"/>
        <v>10.770404211831696</v>
      </c>
      <c r="K19">
        <v>11</v>
      </c>
      <c r="L19" s="18">
        <f t="shared" si="21"/>
        <v>0.19198621771937624</v>
      </c>
      <c r="M19" s="26">
        <f t="shared" si="14"/>
        <v>152.54689428262583</v>
      </c>
      <c r="N19" s="20">
        <f t="shared" si="15"/>
        <v>152.58801455139439</v>
      </c>
      <c r="O19" s="21">
        <f t="shared" si="16"/>
        <v>152.61041487847436</v>
      </c>
      <c r="P19" s="22">
        <f t="shared" si="17"/>
        <v>152.65142925515812</v>
      </c>
      <c r="Q19" s="23">
        <f t="shared" si="18"/>
        <v>152.69609432178609</v>
      </c>
      <c r="R19" s="24">
        <f t="shared" si="19"/>
        <v>152.74067832801484</v>
      </c>
      <c r="S19" s="25">
        <f t="shared" si="20"/>
        <v>152.84439368225247</v>
      </c>
      <c r="U19" s="16">
        <v>485</v>
      </c>
      <c r="V19" s="1">
        <f t="shared" si="0"/>
        <v>1.3318838043513459</v>
      </c>
      <c r="W19" s="1">
        <f t="shared" si="1"/>
        <v>59.475354729218026</v>
      </c>
      <c r="X19">
        <f t="shared" si="2"/>
        <v>42.24070249950347</v>
      </c>
      <c r="Z19">
        <f t="shared" si="3"/>
        <v>71.878720117479901</v>
      </c>
      <c r="AA19">
        <f t="shared" si="4"/>
        <v>50.59774367880226</v>
      </c>
      <c r="AE19" s="27">
        <v>42.24070249950347</v>
      </c>
      <c r="AM19">
        <v>50.59774367880226</v>
      </c>
    </row>
    <row r="20" spans="1:57">
      <c r="A20">
        <v>12</v>
      </c>
      <c r="B20" s="18">
        <f t="shared" si="5"/>
        <v>0.20943951023931953</v>
      </c>
      <c r="C20" s="19">
        <f t="shared" si="6"/>
        <v>11.947250295061593</v>
      </c>
      <c r="D20" s="20">
        <f t="shared" si="7"/>
        <v>11.91732081965722</v>
      </c>
      <c r="E20" s="21">
        <f t="shared" si="8"/>
        <v>11.901016735630868</v>
      </c>
      <c r="F20" s="22">
        <f t="shared" si="9"/>
        <v>11.871164487101879</v>
      </c>
      <c r="G20" s="23">
        <f t="shared" si="10"/>
        <v>11.838655202135939</v>
      </c>
      <c r="H20" s="24">
        <f t="shared" si="11"/>
        <v>11.806205033414017</v>
      </c>
      <c r="I20" s="25">
        <f t="shared" si="12"/>
        <v>11.730716961936189</v>
      </c>
      <c r="K20">
        <v>12</v>
      </c>
      <c r="L20" s="18">
        <f t="shared" si="21"/>
        <v>0.20943951023931953</v>
      </c>
      <c r="M20" s="26">
        <f t="shared" si="14"/>
        <v>150.07912455740762</v>
      </c>
      <c r="N20" s="20">
        <f t="shared" si="15"/>
        <v>150.12401877051417</v>
      </c>
      <c r="O20" s="21">
        <f t="shared" si="16"/>
        <v>150.14847489655369</v>
      </c>
      <c r="P20" s="22">
        <f t="shared" si="17"/>
        <v>150.19325326934717</v>
      </c>
      <c r="Q20" s="23">
        <f t="shared" si="18"/>
        <v>150.2420171967961</v>
      </c>
      <c r="R20" s="24">
        <f t="shared" si="19"/>
        <v>150.29069244987897</v>
      </c>
      <c r="S20" s="25">
        <f t="shared" si="20"/>
        <v>150.40392455709571</v>
      </c>
      <c r="U20" s="16">
        <v>490</v>
      </c>
      <c r="V20" s="1">
        <f t="shared" si="0"/>
        <v>1.3319945681776031</v>
      </c>
      <c r="W20" s="1">
        <f t="shared" si="1"/>
        <v>59.468915104263523</v>
      </c>
      <c r="X20">
        <f t="shared" si="2"/>
        <v>42.22454274182796</v>
      </c>
      <c r="Z20">
        <f t="shared" si="3"/>
        <v>71.875145990390422</v>
      </c>
      <c r="AA20">
        <f t="shared" si="4"/>
        <v>50.626859257538001</v>
      </c>
      <c r="AE20" s="27">
        <v>42.22454274182796</v>
      </c>
      <c r="AM20">
        <v>50.626859257538001</v>
      </c>
    </row>
    <row r="21" spans="1:57">
      <c r="A21">
        <v>13</v>
      </c>
      <c r="B21" s="18">
        <f t="shared" si="5"/>
        <v>0.22689280275926285</v>
      </c>
      <c r="C21" s="19">
        <f t="shared" si="6"/>
        <v>12.92083408570516</v>
      </c>
      <c r="D21" s="20">
        <f t="shared" si="7"/>
        <v>12.888382486465993</v>
      </c>
      <c r="E21" s="21">
        <f t="shared" si="8"/>
        <v>12.870704524779924</v>
      </c>
      <c r="F21" s="22">
        <f t="shared" si="9"/>
        <v>12.838336841259796</v>
      </c>
      <c r="G21" s="23">
        <f t="shared" si="10"/>
        <v>12.803088364793894</v>
      </c>
      <c r="H21" s="24">
        <f t="shared" si="11"/>
        <v>12.767904123691103</v>
      </c>
      <c r="I21" s="25">
        <f t="shared" si="12"/>
        <v>12.686056376231626</v>
      </c>
      <c r="K21">
        <v>13</v>
      </c>
      <c r="L21" s="18">
        <f t="shared" si="21"/>
        <v>0.22689280275926285</v>
      </c>
      <c r="M21" s="26">
        <f t="shared" si="14"/>
        <v>147.61874887144228</v>
      </c>
      <c r="N21" s="20">
        <f t="shared" si="15"/>
        <v>147.66742627030101</v>
      </c>
      <c r="O21" s="21">
        <f t="shared" si="16"/>
        <v>147.69394321283011</v>
      </c>
      <c r="P21" s="22">
        <f t="shared" si="17"/>
        <v>147.74249473811031</v>
      </c>
      <c r="Q21" s="23">
        <f t="shared" si="18"/>
        <v>147.79536745280916</v>
      </c>
      <c r="R21" s="24">
        <f t="shared" si="19"/>
        <v>147.84814381446336</v>
      </c>
      <c r="S21" s="25">
        <f t="shared" si="20"/>
        <v>147.97091543565256</v>
      </c>
      <c r="U21" s="16">
        <v>495</v>
      </c>
      <c r="V21" s="1">
        <f t="shared" si="0"/>
        <v>1.3321065874184512</v>
      </c>
      <c r="W21" s="1">
        <f t="shared" si="1"/>
        <v>59.462402760917541</v>
      </c>
      <c r="X21">
        <f t="shared" si="2"/>
        <v>42.208205414141133</v>
      </c>
      <c r="Z21">
        <f t="shared" si="3"/>
        <v>71.871531669788155</v>
      </c>
      <c r="AA21">
        <f t="shared" si="4"/>
        <v>50.656296127936486</v>
      </c>
      <c r="AE21" s="27">
        <v>42.208205414141133</v>
      </c>
      <c r="AM21">
        <v>50.656296127936486</v>
      </c>
    </row>
    <row r="22" spans="1:57">
      <c r="A22">
        <v>14</v>
      </c>
      <c r="B22" s="18">
        <f t="shared" si="5"/>
        <v>0.24434609527920614</v>
      </c>
      <c r="C22" s="19">
        <f t="shared" si="6"/>
        <v>13.88905020811179</v>
      </c>
      <c r="D22" s="20">
        <f t="shared" si="7"/>
        <v>13.854069834752103</v>
      </c>
      <c r="E22" s="21">
        <f t="shared" si="8"/>
        <v>13.835014384847348</v>
      </c>
      <c r="F22" s="22">
        <f t="shared" si="9"/>
        <v>13.800124677773354</v>
      </c>
      <c r="G22" s="23">
        <f t="shared" si="10"/>
        <v>13.7621298675354</v>
      </c>
      <c r="H22" s="24">
        <f t="shared" si="11"/>
        <v>13.724204458745952</v>
      </c>
      <c r="I22" s="25">
        <f t="shared" si="12"/>
        <v>13.635980660793784</v>
      </c>
      <c r="K22">
        <v>14</v>
      </c>
      <c r="L22" s="18">
        <f t="shared" si="21"/>
        <v>0.24434609527920614</v>
      </c>
      <c r="M22" s="26">
        <f t="shared" si="14"/>
        <v>145.16642468783229</v>
      </c>
      <c r="N22" s="20">
        <f t="shared" si="15"/>
        <v>145.21889524787184</v>
      </c>
      <c r="O22" s="21">
        <f t="shared" si="16"/>
        <v>145.24747842272899</v>
      </c>
      <c r="P22" s="22">
        <f t="shared" si="17"/>
        <v>145.29981298333996</v>
      </c>
      <c r="Q22" s="23">
        <f t="shared" si="18"/>
        <v>145.35680519869689</v>
      </c>
      <c r="R22" s="24">
        <f t="shared" si="19"/>
        <v>145.41369331188105</v>
      </c>
      <c r="S22" s="25">
        <f t="shared" si="20"/>
        <v>145.54602900880934</v>
      </c>
      <c r="U22" s="16">
        <v>500</v>
      </c>
      <c r="V22" s="1">
        <f t="shared" si="0"/>
        <v>1.3322198659508597</v>
      </c>
      <c r="W22" s="1">
        <f t="shared" si="1"/>
        <v>59.455817482463331</v>
      </c>
      <c r="X22">
        <f t="shared" si="2"/>
        <v>42.191690137409893</v>
      </c>
      <c r="Z22">
        <f t="shared" si="3"/>
        <v>71.867877041064517</v>
      </c>
      <c r="AA22">
        <f t="shared" si="4"/>
        <v>50.686055018411281</v>
      </c>
      <c r="AE22" s="27">
        <v>42.191690137409893</v>
      </c>
      <c r="AM22">
        <v>50.686055018411281</v>
      </c>
    </row>
    <row r="23" spans="1:57">
      <c r="A23">
        <v>15</v>
      </c>
      <c r="B23" s="18">
        <f t="shared" si="5"/>
        <v>0.26179938779914941</v>
      </c>
      <c r="C23" s="19">
        <f t="shared" si="6"/>
        <v>14.851453615820667</v>
      </c>
      <c r="D23" s="20">
        <f t="shared" si="7"/>
        <v>14.813937335294227</v>
      </c>
      <c r="E23" s="21">
        <f t="shared" si="8"/>
        <v>14.793500524682834</v>
      </c>
      <c r="F23" s="22">
        <f t="shared" si="9"/>
        <v>14.756081727834456</v>
      </c>
      <c r="G23" s="23">
        <f t="shared" si="10"/>
        <v>14.71533292420964</v>
      </c>
      <c r="H23" s="24">
        <f t="shared" si="11"/>
        <v>14.674658738963366</v>
      </c>
      <c r="I23" s="25">
        <f t="shared" si="12"/>
        <v>14.580041332875311</v>
      </c>
      <c r="K23">
        <v>15</v>
      </c>
      <c r="L23" s="18">
        <f t="shared" si="21"/>
        <v>0.26179938779914941</v>
      </c>
      <c r="M23" s="26">
        <f t="shared" si="14"/>
        <v>142.72281957626899</v>
      </c>
      <c r="N23" s="20">
        <f t="shared" si="15"/>
        <v>142.77909399705865</v>
      </c>
      <c r="O23" s="21">
        <f t="shared" si="16"/>
        <v>142.80974921297576</v>
      </c>
      <c r="P23" s="22">
        <f t="shared" si="17"/>
        <v>142.86587740824831</v>
      </c>
      <c r="Q23" s="23">
        <f t="shared" si="18"/>
        <v>142.92700061368555</v>
      </c>
      <c r="R23" s="24">
        <f t="shared" si="19"/>
        <v>142.98801189155495</v>
      </c>
      <c r="S23" s="25">
        <f t="shared" si="20"/>
        <v>143.12993800068705</v>
      </c>
      <c r="U23" s="16">
        <v>505</v>
      </c>
      <c r="V23" s="1">
        <f t="shared" si="0"/>
        <v>1.3323344077030566</v>
      </c>
      <c r="W23" s="1">
        <f t="shared" si="1"/>
        <v>59.449159049314893</v>
      </c>
      <c r="X23">
        <f t="shared" si="2"/>
        <v>42.174996527857118</v>
      </c>
      <c r="Z23">
        <f t="shared" si="3"/>
        <v>71.864181988107049</v>
      </c>
      <c r="AA23">
        <f t="shared" si="4"/>
        <v>50.716136666598118</v>
      </c>
      <c r="AE23" s="27">
        <v>42.174996527857118</v>
      </c>
      <c r="AM23">
        <v>50.716136666598118</v>
      </c>
    </row>
    <row r="24" spans="1:57">
      <c r="A24">
        <v>16</v>
      </c>
      <c r="B24" s="18">
        <f t="shared" si="5"/>
        <v>0.27925268031909273</v>
      </c>
      <c r="C24" s="19">
        <f t="shared" si="6"/>
        <v>15.807591956487229</v>
      </c>
      <c r="D24" s="20">
        <f t="shared" si="7"/>
        <v>15.767532160396776</v>
      </c>
      <c r="E24" s="21">
        <f t="shared" si="8"/>
        <v>15.745709858723956</v>
      </c>
      <c r="F24" s="22">
        <f t="shared" si="9"/>
        <v>15.705754435707703</v>
      </c>
      <c r="G24" s="23">
        <f t="shared" si="10"/>
        <v>15.662243469958575</v>
      </c>
      <c r="H24" s="24">
        <f t="shared" si="11"/>
        <v>15.618812394297144</v>
      </c>
      <c r="I24" s="25">
        <f t="shared" si="12"/>
        <v>15.517782658823663</v>
      </c>
      <c r="K24">
        <v>16</v>
      </c>
      <c r="L24" s="18">
        <f t="shared" si="21"/>
        <v>0.27925268031909273</v>
      </c>
      <c r="M24" s="26">
        <f t="shared" si="14"/>
        <v>140.28861206526915</v>
      </c>
      <c r="N24" s="20">
        <f t="shared" si="15"/>
        <v>140.34870175940483</v>
      </c>
      <c r="O24" s="21">
        <f t="shared" si="16"/>
        <v>140.38143521191404</v>
      </c>
      <c r="P24" s="22">
        <f t="shared" si="17"/>
        <v>140.44136834643845</v>
      </c>
      <c r="Q24" s="23">
        <f t="shared" si="18"/>
        <v>140.50663479506215</v>
      </c>
      <c r="R24" s="24">
        <f t="shared" si="19"/>
        <v>140.57178140855427</v>
      </c>
      <c r="S24" s="25">
        <f t="shared" si="20"/>
        <v>140.72332601176453</v>
      </c>
      <c r="U24" s="3">
        <v>510</v>
      </c>
      <c r="V24" s="1">
        <f t="shared" si="0"/>
        <v>1.3324502166549321</v>
      </c>
      <c r="W24" s="1">
        <f t="shared" si="1"/>
        <v>59.442427238994433</v>
      </c>
      <c r="X24">
        <f t="shared" si="2"/>
        <v>42.158124196932263</v>
      </c>
      <c r="Z24">
        <f t="shared" si="3"/>
        <v>71.860446393288214</v>
      </c>
      <c r="AA24">
        <f t="shared" si="4"/>
        <v>50.746541819415256</v>
      </c>
      <c r="AF24" s="27">
        <v>42.158124196932263</v>
      </c>
      <c r="AN24">
        <v>50.746541819415256</v>
      </c>
      <c r="AV24">
        <v>42.158124196932263</v>
      </c>
      <c r="BD24">
        <v>50.746541819415256</v>
      </c>
    </row>
    <row r="25" spans="1:57">
      <c r="A25">
        <v>17</v>
      </c>
      <c r="B25" s="18">
        <f t="shared" si="5"/>
        <v>0.29670597283903605</v>
      </c>
      <c r="C25" s="19">
        <f t="shared" si="6"/>
        <v>16.757004992906197</v>
      </c>
      <c r="D25" s="20">
        <f t="shared" si="7"/>
        <v>16.714393605816404</v>
      </c>
      <c r="E25" s="21">
        <f t="shared" si="8"/>
        <v>16.691181429416766</v>
      </c>
      <c r="F25" s="22">
        <f t="shared" si="9"/>
        <v>16.648681382058591</v>
      </c>
      <c r="G25" s="23">
        <f t="shared" si="10"/>
        <v>16.602399585537874</v>
      </c>
      <c r="H25" s="24">
        <f t="shared" si="11"/>
        <v>16.556203009587009</v>
      </c>
      <c r="I25" s="25">
        <f t="shared" si="12"/>
        <v>16.448741081732706</v>
      </c>
      <c r="K25">
        <v>17</v>
      </c>
      <c r="L25" s="18">
        <f t="shared" si="21"/>
        <v>0.29670597283903605</v>
      </c>
      <c r="M25" s="26">
        <f t="shared" si="14"/>
        <v>137.8644925106407</v>
      </c>
      <c r="N25" s="20">
        <f t="shared" si="15"/>
        <v>137.9284095912754</v>
      </c>
      <c r="O25" s="21">
        <f t="shared" si="16"/>
        <v>137.96322785587486</v>
      </c>
      <c r="P25" s="22">
        <f t="shared" si="17"/>
        <v>138.02697792691211</v>
      </c>
      <c r="Q25" s="23">
        <f t="shared" si="18"/>
        <v>138.09640062169319</v>
      </c>
      <c r="R25" s="24">
        <f t="shared" si="19"/>
        <v>138.16569548561949</v>
      </c>
      <c r="S25" s="25">
        <f t="shared" si="20"/>
        <v>138.32688837740093</v>
      </c>
      <c r="U25" s="3">
        <v>515</v>
      </c>
      <c r="V25" s="1">
        <f t="shared" si="0"/>
        <v>1.3325672968384512</v>
      </c>
      <c r="W25" s="1">
        <f t="shared" si="1"/>
        <v>59.435621826109063</v>
      </c>
      <c r="X25">
        <f t="shared" si="2"/>
        <v>42.14107275128076</v>
      </c>
      <c r="Z25">
        <f t="shared" si="3"/>
        <v>71.856670137453392</v>
      </c>
      <c r="AA25">
        <f t="shared" si="4"/>
        <v>50.777271233126044</v>
      </c>
      <c r="AF25" s="27">
        <v>42.14107275128076</v>
      </c>
      <c r="AN25">
        <v>50.777271233126044</v>
      </c>
    </row>
    <row r="26" spans="1:57">
      <c r="A26">
        <v>18</v>
      </c>
      <c r="B26" s="18">
        <f t="shared" si="5"/>
        <v>0.31415926535897931</v>
      </c>
      <c r="C26" s="19">
        <f t="shared" si="6"/>
        <v>17.699224012558446</v>
      </c>
      <c r="D26" s="20">
        <f t="shared" si="7"/>
        <v>17.654052501296761</v>
      </c>
      <c r="E26" s="21">
        <f t="shared" si="8"/>
        <v>17.629445818290129</v>
      </c>
      <c r="F26" s="22">
        <f t="shared" si="9"/>
        <v>17.584392696019194</v>
      </c>
      <c r="G26" s="23">
        <f t="shared" si="10"/>
        <v>17.535330910466826</v>
      </c>
      <c r="H26" s="24">
        <f t="shared" si="11"/>
        <v>17.486359738795066</v>
      </c>
      <c r="I26" s="25">
        <f t="shared" si="12"/>
        <v>17.372444638224479</v>
      </c>
      <c r="K26">
        <v>18</v>
      </c>
      <c r="L26" s="18">
        <f t="shared" si="21"/>
        <v>0.31415926535897931</v>
      </c>
      <c r="M26" s="26">
        <f t="shared" si="14"/>
        <v>135.45116398116232</v>
      </c>
      <c r="N26" s="20">
        <f t="shared" si="15"/>
        <v>135.51892124805485</v>
      </c>
      <c r="O26" s="21">
        <f t="shared" si="16"/>
        <v>135.5558312725648</v>
      </c>
      <c r="P26" s="22">
        <f t="shared" si="17"/>
        <v>135.62341095597122</v>
      </c>
      <c r="Q26" s="23">
        <f t="shared" si="18"/>
        <v>135.69700363429976</v>
      </c>
      <c r="R26" s="24">
        <f t="shared" si="19"/>
        <v>135.7704603918074</v>
      </c>
      <c r="S26" s="25">
        <f t="shared" si="20"/>
        <v>135.9413330426633</v>
      </c>
      <c r="U26" s="3">
        <v>520</v>
      </c>
      <c r="V26" s="1">
        <f t="shared" si="0"/>
        <v>1.332685652338071</v>
      </c>
      <c r="W26" s="1">
        <f t="shared" si="1"/>
        <v>59.42874258232721</v>
      </c>
      <c r="X26">
        <f t="shared" si="2"/>
        <v>42.123841792713321</v>
      </c>
      <c r="Z26">
        <f t="shared" si="3"/>
        <v>71.852853099909126</v>
      </c>
      <c r="AA26">
        <f t="shared" si="4"/>
        <v>50.808325673402038</v>
      </c>
      <c r="AF26" s="27">
        <v>42.123841792713321</v>
      </c>
      <c r="AN26">
        <v>50.808325673402038</v>
      </c>
    </row>
    <row r="27" spans="1:57">
      <c r="A27">
        <v>19</v>
      </c>
      <c r="B27" s="18">
        <f t="shared" si="5"/>
        <v>0.33161255787892258</v>
      </c>
      <c r="C27" s="19">
        <f t="shared" si="6"/>
        <v>18.633771225060386</v>
      </c>
      <c r="D27" s="20">
        <f t="shared" si="7"/>
        <v>18.586030609097499</v>
      </c>
      <c r="E27" s="21">
        <f t="shared" si="8"/>
        <v>18.560024545074718</v>
      </c>
      <c r="F27" s="22">
        <f t="shared" si="9"/>
        <v>18.512409455389978</v>
      </c>
      <c r="G27" s="23">
        <f t="shared" si="10"/>
        <v>18.460558044413574</v>
      </c>
      <c r="H27" s="24">
        <f t="shared" si="11"/>
        <v>18.408802707576882</v>
      </c>
      <c r="I27" s="25">
        <f t="shared" si="12"/>
        <v>18.288412363795558</v>
      </c>
      <c r="K27">
        <v>19</v>
      </c>
      <c r="L27" s="18">
        <f t="shared" si="21"/>
        <v>0.33161255787892258</v>
      </c>
      <c r="M27" s="26">
        <f t="shared" si="14"/>
        <v>133.0493431624094</v>
      </c>
      <c r="N27" s="20">
        <f t="shared" si="15"/>
        <v>133.12095408635378</v>
      </c>
      <c r="O27" s="21">
        <f t="shared" si="16"/>
        <v>133.15996318238791</v>
      </c>
      <c r="P27" s="22">
        <f t="shared" si="17"/>
        <v>133.23138581691501</v>
      </c>
      <c r="Q27" s="23">
        <f t="shared" si="18"/>
        <v>133.30916293337964</v>
      </c>
      <c r="R27" s="24">
        <f t="shared" si="19"/>
        <v>133.38679593863469</v>
      </c>
      <c r="S27" s="25">
        <f t="shared" si="20"/>
        <v>133.56738145430666</v>
      </c>
      <c r="U27" s="3">
        <v>525</v>
      </c>
      <c r="V27" s="1">
        <f t="shared" si="0"/>
        <v>1.3328052872911653</v>
      </c>
      <c r="W27" s="1">
        <f t="shared" si="1"/>
        <v>59.421789276354765</v>
      </c>
      <c r="X27">
        <f t="shared" si="2"/>
        <v>42.106430918174723</v>
      </c>
      <c r="Z27">
        <f t="shared" si="3"/>
        <v>71.848995158410901</v>
      </c>
      <c r="AA27">
        <f t="shared" si="4"/>
        <v>50.839705915386901</v>
      </c>
      <c r="AF27" s="27">
        <v>42.106430918174723</v>
      </c>
      <c r="AN27">
        <v>50.839705915386901</v>
      </c>
    </row>
    <row r="28" spans="1:57">
      <c r="A28">
        <v>20</v>
      </c>
      <c r="B28" s="18">
        <f t="shared" si="5"/>
        <v>0.3490658503988659</v>
      </c>
      <c r="C28" s="19">
        <f t="shared" si="6"/>
        <v>19.560159146935078</v>
      </c>
      <c r="D28" s="20">
        <f t="shared" si="7"/>
        <v>19.509840009945371</v>
      </c>
      <c r="E28" s="21">
        <f t="shared" si="8"/>
        <v>19.482429454298298</v>
      </c>
      <c r="F28" s="22">
        <f t="shared" si="9"/>
        <v>19.432243074417748</v>
      </c>
      <c r="G28" s="23">
        <f t="shared" si="10"/>
        <v>19.377591936265048</v>
      </c>
      <c r="H28" s="24">
        <f t="shared" si="11"/>
        <v>19.323042403645175</v>
      </c>
      <c r="I28" s="25">
        <f t="shared" si="12"/>
        <v>19.196153686206493</v>
      </c>
      <c r="K28">
        <v>20</v>
      </c>
      <c r="L28" s="18">
        <f t="shared" si="21"/>
        <v>0.3490658503988659</v>
      </c>
      <c r="M28" s="26">
        <f t="shared" si="14"/>
        <v>130.65976127959738</v>
      </c>
      <c r="N28" s="20">
        <f t="shared" si="15"/>
        <v>130.73523998508193</v>
      </c>
      <c r="O28" s="21">
        <f t="shared" si="16"/>
        <v>130.77635581855256</v>
      </c>
      <c r="P28" s="22">
        <f t="shared" si="17"/>
        <v>130.85163538837338</v>
      </c>
      <c r="Q28" s="23">
        <f t="shared" si="18"/>
        <v>130.93361209560243</v>
      </c>
      <c r="R28" s="24">
        <f t="shared" si="19"/>
        <v>131.01543639453223</v>
      </c>
      <c r="S28" s="25">
        <f t="shared" si="20"/>
        <v>131.20576947069026</v>
      </c>
      <c r="U28" s="4">
        <v>530</v>
      </c>
      <c r="V28" s="1">
        <f t="shared" si="0"/>
        <v>1.3329262058884568</v>
      </c>
      <c r="W28" s="1">
        <f t="shared" si="1"/>
        <v>59.414761673910739</v>
      </c>
      <c r="X28">
        <f t="shared" si="2"/>
        <v>42.088839719712283</v>
      </c>
      <c r="Z28">
        <f t="shared" si="3"/>
        <v>71.845096189150908</v>
      </c>
      <c r="AA28">
        <f t="shared" si="4"/>
        <v>50.871412743761624</v>
      </c>
      <c r="AG28" s="27">
        <v>42.088839719712283</v>
      </c>
      <c r="AO28">
        <v>50.871412743761624</v>
      </c>
      <c r="AW28">
        <v>42.088839719712283</v>
      </c>
      <c r="BE28">
        <v>50.871412743761624</v>
      </c>
    </row>
    <row r="29" spans="1:57">
      <c r="A29">
        <v>21</v>
      </c>
      <c r="B29" s="18">
        <f t="shared" si="5"/>
        <v>0.36651914291880922</v>
      </c>
      <c r="C29" s="19">
        <f t="shared" si="6"/>
        <v>20.477889973174243</v>
      </c>
      <c r="D29" s="20">
        <f t="shared" si="7"/>
        <v>20.424982475885102</v>
      </c>
      <c r="E29" s="21">
        <f t="shared" si="8"/>
        <v>20.396162088840207</v>
      </c>
      <c r="F29" s="22">
        <f t="shared" si="9"/>
        <v>20.343394678640855</v>
      </c>
      <c r="G29" s="23">
        <f t="shared" si="10"/>
        <v>20.285933260381732</v>
      </c>
      <c r="H29" s="24">
        <f t="shared" si="11"/>
        <v>20.228579054435741</v>
      </c>
      <c r="I29" s="25">
        <f t="shared" si="12"/>
        <v>20.09516780644509</v>
      </c>
      <c r="K29">
        <v>21</v>
      </c>
      <c r="L29" s="18">
        <f t="shared" si="21"/>
        <v>0.36651914291880922</v>
      </c>
      <c r="M29" s="26">
        <f t="shared" si="14"/>
        <v>128.28316504023863</v>
      </c>
      <c r="N29" s="20">
        <f t="shared" si="15"/>
        <v>128.36252628617237</v>
      </c>
      <c r="O29" s="21">
        <f t="shared" si="16"/>
        <v>128.40575686673969</v>
      </c>
      <c r="P29" s="22">
        <f t="shared" si="17"/>
        <v>128.48490798203869</v>
      </c>
      <c r="Q29" s="23">
        <f t="shared" si="18"/>
        <v>128.57110010942739</v>
      </c>
      <c r="R29" s="24">
        <f t="shared" si="19"/>
        <v>128.65713141834635</v>
      </c>
      <c r="S29" s="25">
        <f t="shared" si="20"/>
        <v>128.85724829033236</v>
      </c>
      <c r="U29" s="4">
        <v>535</v>
      </c>
      <c r="V29" s="1">
        <f t="shared" si="0"/>
        <v>1.3330484123744548</v>
      </c>
      <c r="W29" s="1">
        <f t="shared" si="1"/>
        <v>59.407659537702465</v>
      </c>
      <c r="X29">
        <f t="shared" si="2"/>
        <v>42.071067784443571</v>
      </c>
      <c r="Z29">
        <f t="shared" si="3"/>
        <v>71.841156066745427</v>
      </c>
      <c r="AA29">
        <f t="shared" si="4"/>
        <v>50.903446952810299</v>
      </c>
      <c r="AG29" s="27">
        <v>42.071067784443571</v>
      </c>
      <c r="AO29">
        <v>50.903446952810299</v>
      </c>
    </row>
    <row r="30" spans="1:57">
      <c r="A30">
        <v>22</v>
      </c>
      <c r="B30" s="18">
        <f t="shared" si="5"/>
        <v>0.38397243543875248</v>
      </c>
      <c r="C30" s="19">
        <f t="shared" si="6"/>
        <v>21.386454935116404</v>
      </c>
      <c r="D30" s="20">
        <f t="shared" si="7"/>
        <v>21.330948829564335</v>
      </c>
      <c r="E30" s="21">
        <f t="shared" si="8"/>
        <v>21.300713049984168</v>
      </c>
      <c r="F30" s="22">
        <f t="shared" si="9"/>
        <v>21.245354466350321</v>
      </c>
      <c r="G30" s="23">
        <f t="shared" si="10"/>
        <v>21.185071779596001</v>
      </c>
      <c r="H30" s="24">
        <f t="shared" si="11"/>
        <v>21.124901991643569</v>
      </c>
      <c r="I30" s="25">
        <f t="shared" si="12"/>
        <v>20.984943066854413</v>
      </c>
      <c r="K30">
        <v>22</v>
      </c>
      <c r="L30" s="18">
        <f t="shared" si="21"/>
        <v>0.38397243543875248</v>
      </c>
      <c r="M30" s="26">
        <f t="shared" si="14"/>
        <v>125.92031759732539</v>
      </c>
      <c r="N30" s="20">
        <f t="shared" si="15"/>
        <v>126.0035767556535</v>
      </c>
      <c r="O30" s="21">
        <f t="shared" si="16"/>
        <v>126.04893042502377</v>
      </c>
      <c r="P30" s="22">
        <f t="shared" si="17"/>
        <v>126.13196830047451</v>
      </c>
      <c r="Q30" s="23">
        <f t="shared" si="18"/>
        <v>126.22239233060598</v>
      </c>
      <c r="R30" s="24">
        <f t="shared" si="19"/>
        <v>126.31264701253464</v>
      </c>
      <c r="S30" s="25">
        <f t="shared" si="20"/>
        <v>126.52258539971838</v>
      </c>
      <c r="U30" s="4">
        <v>540</v>
      </c>
      <c r="V30" s="1">
        <f t="shared" si="0"/>
        <v>1.3331719110478999</v>
      </c>
      <c r="W30" s="1">
        <f t="shared" si="1"/>
        <v>59.400482627400635</v>
      </c>
      <c r="X30">
        <f t="shared" si="2"/>
        <v>42.053114694523941</v>
      </c>
      <c r="Z30">
        <f t="shared" si="3"/>
        <v>71.837174664222346</v>
      </c>
      <c r="AA30">
        <f t="shared" si="4"/>
        <v>50.93580934648719</v>
      </c>
      <c r="AG30" s="27">
        <v>42.053114694523941</v>
      </c>
      <c r="AO30">
        <v>50.93580934648719</v>
      </c>
    </row>
    <row r="31" spans="1:57">
      <c r="A31">
        <v>23</v>
      </c>
      <c r="B31" s="18">
        <f t="shared" si="5"/>
        <v>0.40142572795869574</v>
      </c>
      <c r="C31" s="19">
        <f t="shared" si="6"/>
        <v>22.285333644233603</v>
      </c>
      <c r="D31" s="20">
        <f t="shared" si="7"/>
        <v>22.227218289554941</v>
      </c>
      <c r="E31" s="21">
        <f t="shared" si="8"/>
        <v>22.195561343576586</v>
      </c>
      <c r="F31" s="22">
        <f t="shared" si="9"/>
        <v>22.137601056283131</v>
      </c>
      <c r="G31" s="23">
        <f t="shared" si="10"/>
        <v>22.074485694580332</v>
      </c>
      <c r="H31" s="24">
        <f t="shared" si="11"/>
        <v>22.011489002266458</v>
      </c>
      <c r="I31" s="25">
        <f t="shared" si="12"/>
        <v>21.864956306085915</v>
      </c>
      <c r="K31">
        <v>23</v>
      </c>
      <c r="L31" s="18">
        <f t="shared" si="21"/>
        <v>0.40142572795869574</v>
      </c>
      <c r="M31" s="26">
        <f t="shared" si="14"/>
        <v>123.57199953364957</v>
      </c>
      <c r="N31" s="20">
        <f t="shared" si="15"/>
        <v>123.65917256566757</v>
      </c>
      <c r="O31" s="21">
        <f t="shared" si="16"/>
        <v>123.70665798463513</v>
      </c>
      <c r="P31" s="22">
        <f t="shared" si="17"/>
        <v>123.79359841557529</v>
      </c>
      <c r="Q31" s="23">
        <f t="shared" si="18"/>
        <v>123.88827145812951</v>
      </c>
      <c r="R31" s="24">
        <f t="shared" si="19"/>
        <v>123.98276649660031</v>
      </c>
      <c r="S31" s="25">
        <f t="shared" si="20"/>
        <v>124.20256554087112</v>
      </c>
      <c r="U31" s="4">
        <v>545</v>
      </c>
      <c r="V31" s="1">
        <f t="shared" si="0"/>
        <v>1.3332967062622172</v>
      </c>
      <c r="W31" s="1">
        <f t="shared" si="1"/>
        <v>59.393230699613781</v>
      </c>
      <c r="X31">
        <f t="shared" si="2"/>
        <v>42.034980027113221</v>
      </c>
      <c r="Z31">
        <f t="shared" si="3"/>
        <v>71.833151853008019</v>
      </c>
      <c r="AA31">
        <f t="shared" si="4"/>
        <v>50.968500738484636</v>
      </c>
      <c r="AG31" s="27">
        <v>42.034980027113221</v>
      </c>
      <c r="AO31">
        <v>50.968500738484636</v>
      </c>
    </row>
    <row r="32" spans="1:57">
      <c r="A32">
        <v>24</v>
      </c>
      <c r="B32" s="18">
        <f t="shared" si="5"/>
        <v>0.41887902047863906</v>
      </c>
      <c r="C32" s="19">
        <f t="shared" si="6"/>
        <v>23.173993421495979</v>
      </c>
      <c r="D32" s="20">
        <f t="shared" si="7"/>
        <v>23.113257801389722</v>
      </c>
      <c r="E32" s="21">
        <f t="shared" si="8"/>
        <v>23.080173711975334</v>
      </c>
      <c r="F32" s="22">
        <f t="shared" si="9"/>
        <v>23.019600821242975</v>
      </c>
      <c r="G32" s="23">
        <f t="shared" si="10"/>
        <v>22.953640979291592</v>
      </c>
      <c r="H32" s="24">
        <f t="shared" si="11"/>
        <v>22.887805665872463</v>
      </c>
      <c r="I32" s="25">
        <f t="shared" si="12"/>
        <v>22.73467220061876</v>
      </c>
      <c r="K32">
        <v>24</v>
      </c>
      <c r="L32" s="18">
        <f t="shared" si="21"/>
        <v>0.41887902047863906</v>
      </c>
      <c r="M32" s="26">
        <f t="shared" si="14"/>
        <v>121.23900986775604</v>
      </c>
      <c r="N32" s="20">
        <f t="shared" si="15"/>
        <v>121.33011329791542</v>
      </c>
      <c r="O32" s="21">
        <f t="shared" si="16"/>
        <v>121.379739432037</v>
      </c>
      <c r="P32" s="22">
        <f t="shared" si="17"/>
        <v>121.47059876813555</v>
      </c>
      <c r="Q32" s="23">
        <f t="shared" si="18"/>
        <v>121.56953853106262</v>
      </c>
      <c r="R32" s="24">
        <f t="shared" si="19"/>
        <v>121.66829150119129</v>
      </c>
      <c r="S32" s="25">
        <f t="shared" si="20"/>
        <v>121.89799169907185</v>
      </c>
      <c r="U32" s="4">
        <v>550</v>
      </c>
      <c r="V32" s="1">
        <f t="shared" si="0"/>
        <v>1.3334228024259756</v>
      </c>
      <c r="W32" s="1">
        <f t="shared" si="1"/>
        <v>59.385903507862182</v>
      </c>
      <c r="X32">
        <f t="shared" si="2"/>
        <v>42.016663354342569</v>
      </c>
      <c r="Z32">
        <f t="shared" si="3"/>
        <v>71.829087502914319</v>
      </c>
      <c r="AA32">
        <f t="shared" si="4"/>
        <v>51.001521952302141</v>
      </c>
      <c r="AG32" s="27">
        <v>42.016663354342569</v>
      </c>
      <c r="AO32">
        <v>51.001521952302141</v>
      </c>
    </row>
    <row r="33" spans="1:59">
      <c r="A33">
        <v>25</v>
      </c>
      <c r="B33" s="18">
        <f t="shared" si="5"/>
        <v>0.43633231299858238</v>
      </c>
      <c r="C33" s="19">
        <f t="shared" si="6"/>
        <v>24.051888612072972</v>
      </c>
      <c r="D33" s="20">
        <f t="shared" si="7"/>
        <v>23.988521354083986</v>
      </c>
      <c r="E33" s="21">
        <f t="shared" si="8"/>
        <v>23.954003951564118</v>
      </c>
      <c r="F33" s="22">
        <f t="shared" si="9"/>
        <v>23.89080720743371</v>
      </c>
      <c r="G33" s="23">
        <f t="shared" si="10"/>
        <v>23.82199070228782</v>
      </c>
      <c r="H33" s="24">
        <f t="shared" si="11"/>
        <v>23.753304677898797</v>
      </c>
      <c r="I33" s="25">
        <f t="shared" si="12"/>
        <v>23.593542592679285</v>
      </c>
      <c r="K33">
        <v>25</v>
      </c>
      <c r="L33" s="18">
        <f t="shared" si="21"/>
        <v>0.43633231299858238</v>
      </c>
      <c r="M33" s="26">
        <f t="shared" si="14"/>
        <v>118.92216708189054</v>
      </c>
      <c r="N33" s="20">
        <f t="shared" si="15"/>
        <v>119.01721796887401</v>
      </c>
      <c r="O33" s="21">
        <f t="shared" si="16"/>
        <v>119.06899407265382</v>
      </c>
      <c r="P33" s="22">
        <f t="shared" si="17"/>
        <v>119.16378918884944</v>
      </c>
      <c r="Q33" s="23">
        <f t="shared" si="18"/>
        <v>119.26701394656826</v>
      </c>
      <c r="R33" s="24">
        <f t="shared" si="19"/>
        <v>119.37004298315181</v>
      </c>
      <c r="S33" s="25">
        <f t="shared" si="20"/>
        <v>119.60968611098107</v>
      </c>
      <c r="U33" s="4">
        <v>555</v>
      </c>
      <c r="V33" s="1">
        <f t="shared" si="0"/>
        <v>1.333550204003354</v>
      </c>
      <c r="W33" s="1">
        <f t="shared" si="1"/>
        <v>59.378500802551748</v>
      </c>
      <c r="X33">
        <f t="shared" si="2"/>
        <v>41.998164243279874</v>
      </c>
      <c r="Z33">
        <f t="shared" si="3"/>
        <v>71.824981482125253</v>
      </c>
      <c r="AA33">
        <f t="shared" si="4"/>
        <v>51.034873821316296</v>
      </c>
      <c r="AG33" s="27">
        <v>41.998164243279874</v>
      </c>
      <c r="AO33">
        <v>51.034873821316296</v>
      </c>
    </row>
    <row r="34" spans="1:59">
      <c r="A34">
        <v>26</v>
      </c>
      <c r="B34" s="18">
        <f t="shared" si="5"/>
        <v>0.4537856055185257</v>
      </c>
      <c r="C34" s="19">
        <f t="shared" si="6"/>
        <v>24.918459885233077</v>
      </c>
      <c r="D34" s="20">
        <f t="shared" si="7"/>
        <v>24.852449282015129</v>
      </c>
      <c r="E34" s="21">
        <f t="shared" si="8"/>
        <v>24.816492215710937</v>
      </c>
      <c r="F34" s="22">
        <f t="shared" si="9"/>
        <v>24.750660039394873</v>
      </c>
      <c r="G34" s="23">
        <f t="shared" si="10"/>
        <v>24.678974333819028</v>
      </c>
      <c r="H34" s="24">
        <f t="shared" si="11"/>
        <v>24.607425158895623</v>
      </c>
      <c r="I34" s="25">
        <f t="shared" si="12"/>
        <v>24.441005804499724</v>
      </c>
      <c r="K34">
        <v>26</v>
      </c>
      <c r="L34" s="18">
        <f t="shared" si="21"/>
        <v>0.4537856055185257</v>
      </c>
      <c r="M34" s="26">
        <f t="shared" si="14"/>
        <v>116.62231017215039</v>
      </c>
      <c r="N34" s="20">
        <f t="shared" si="15"/>
        <v>116.72132607697732</v>
      </c>
      <c r="O34" s="21">
        <f t="shared" si="16"/>
        <v>116.77526167643362</v>
      </c>
      <c r="P34" s="22">
        <f t="shared" si="17"/>
        <v>116.8740099409077</v>
      </c>
      <c r="Q34" s="23">
        <f t="shared" si="18"/>
        <v>116.98153849927147</v>
      </c>
      <c r="R34" s="24">
        <f t="shared" si="19"/>
        <v>117.08886226165654</v>
      </c>
      <c r="S34" s="25">
        <f t="shared" si="20"/>
        <v>117.33849129325043</v>
      </c>
      <c r="U34" s="4">
        <v>560</v>
      </c>
      <c r="V34" s="1">
        <f t="shared" si="0"/>
        <v>1.3336789155146156</v>
      </c>
      <c r="W34" s="1">
        <f t="shared" si="1"/>
        <v>59.371022330947241</v>
      </c>
      <c r="X34">
        <f t="shared" si="2"/>
        <v>41.979482255895789</v>
      </c>
      <c r="Z34">
        <f t="shared" si="3"/>
        <v>71.820833657183584</v>
      </c>
      <c r="AA34">
        <f t="shared" si="4"/>
        <v>51.068557188851969</v>
      </c>
      <c r="AG34" s="27">
        <v>41.979482255895789</v>
      </c>
      <c r="AO34">
        <v>51.068557188851969</v>
      </c>
    </row>
    <row r="35" spans="1:59">
      <c r="A35">
        <v>27</v>
      </c>
      <c r="B35" s="18">
        <f t="shared" si="5"/>
        <v>0.47123889803846897</v>
      </c>
      <c r="C35" s="19">
        <f t="shared" si="6"/>
        <v>25.773133519421521</v>
      </c>
      <c r="D35" s="20">
        <f t="shared" si="7"/>
        <v>25.704467552150618</v>
      </c>
      <c r="E35" s="21">
        <f t="shared" si="8"/>
        <v>25.667064303168104</v>
      </c>
      <c r="F35" s="22">
        <f t="shared" si="9"/>
        <v>25.598584810548502</v>
      </c>
      <c r="G35" s="23">
        <f t="shared" si="10"/>
        <v>25.524017038712657</v>
      </c>
      <c r="H35" s="24">
        <f t="shared" si="11"/>
        <v>25.449591949747557</v>
      </c>
      <c r="I35" s="25">
        <f t="shared" si="12"/>
        <v>25.276485938978112</v>
      </c>
      <c r="K35">
        <v>27</v>
      </c>
      <c r="L35" s="18">
        <f t="shared" si="21"/>
        <v>0.47123889803846897</v>
      </c>
      <c r="M35" s="26">
        <f t="shared" si="14"/>
        <v>114.34029972086773</v>
      </c>
      <c r="N35" s="20">
        <f t="shared" si="15"/>
        <v>114.44329867177406</v>
      </c>
      <c r="O35" s="21">
        <f t="shared" si="16"/>
        <v>114.49940354524784</v>
      </c>
      <c r="P35" s="22">
        <f t="shared" si="17"/>
        <v>114.60212278417725</v>
      </c>
      <c r="Q35" s="23">
        <f t="shared" si="18"/>
        <v>114.71397444193103</v>
      </c>
      <c r="R35" s="24">
        <f t="shared" si="19"/>
        <v>114.82561207537864</v>
      </c>
      <c r="S35" s="25">
        <f t="shared" si="20"/>
        <v>115.08527109153282</v>
      </c>
      <c r="U35" s="4">
        <v>565</v>
      </c>
      <c r="V35" s="1">
        <f t="shared" si="0"/>
        <v>1.3338089415365895</v>
      </c>
      <c r="W35" s="1">
        <f t="shared" si="1"/>
        <v>59.363467837144988</v>
      </c>
      <c r="X35">
        <f t="shared" si="2"/>
        <v>41.960616949028136</v>
      </c>
      <c r="Z35">
        <f t="shared" si="3"/>
        <v>71.816643892976856</v>
      </c>
      <c r="AA35">
        <f t="shared" si="4"/>
        <v>51.102572908254388</v>
      </c>
      <c r="AG35" s="27">
        <v>41.960616949028136</v>
      </c>
      <c r="AO35">
        <v>51.102572908254388</v>
      </c>
    </row>
    <row r="36" spans="1:59">
      <c r="A36">
        <v>28</v>
      </c>
      <c r="B36" s="18">
        <f t="shared" si="5"/>
        <v>0.48869219055841229</v>
      </c>
      <c r="C36" s="19">
        <f t="shared" si="6"/>
        <v>26.615320672631427</v>
      </c>
      <c r="D36" s="20">
        <f t="shared" si="7"/>
        <v>26.543987036752</v>
      </c>
      <c r="E36" s="21">
        <f t="shared" si="8"/>
        <v>26.50513093204745</v>
      </c>
      <c r="F36" s="22">
        <f t="shared" si="9"/>
        <v>26.433991959501967</v>
      </c>
      <c r="G36" s="23">
        <f t="shared" si="10"/>
        <v>26.356528955211942</v>
      </c>
      <c r="H36" s="24">
        <f t="shared" si="11"/>
        <v>26.27921489304309</v>
      </c>
      <c r="I36" s="25">
        <f t="shared" si="12"/>
        <v>26.099392166937193</v>
      </c>
      <c r="K36">
        <v>28</v>
      </c>
      <c r="L36" s="18">
        <f t="shared" si="21"/>
        <v>0.48869219055841229</v>
      </c>
      <c r="M36" s="26">
        <f t="shared" si="14"/>
        <v>112.07701899105287</v>
      </c>
      <c r="N36" s="20">
        <f t="shared" si="15"/>
        <v>112.18401944487204</v>
      </c>
      <c r="O36" s="21">
        <f t="shared" si="16"/>
        <v>112.24230360192881</v>
      </c>
      <c r="P36" s="22">
        <f t="shared" si="17"/>
        <v>112.34901206074704</v>
      </c>
      <c r="Q36" s="23">
        <f t="shared" si="18"/>
        <v>112.46520656718209</v>
      </c>
      <c r="R36" s="24">
        <f t="shared" si="19"/>
        <v>112.58117766043536</v>
      </c>
      <c r="S36" s="25">
        <f t="shared" si="20"/>
        <v>112.8509117495942</v>
      </c>
      <c r="U36" s="4">
        <v>570</v>
      </c>
      <c r="V36" s="1">
        <f t="shared" si="0"/>
        <v>1.3339402867031593</v>
      </c>
      <c r="W36" s="1">
        <f t="shared" si="1"/>
        <v>59.355837062045445</v>
      </c>
      <c r="X36">
        <f t="shared" si="2"/>
        <v>41.941567874346831</v>
      </c>
      <c r="Z36">
        <f t="shared" si="3"/>
        <v>71.812412052723701</v>
      </c>
      <c r="AA36">
        <f t="shared" si="4"/>
        <v>51.136921842962153</v>
      </c>
      <c r="AG36" s="27">
        <v>41.941567874346831</v>
      </c>
      <c r="AO36">
        <v>51.136921842962153</v>
      </c>
    </row>
    <row r="37" spans="1:59">
      <c r="A37">
        <v>29</v>
      </c>
      <c r="B37" s="18">
        <f t="shared" si="5"/>
        <v>0.50614548307835561</v>
      </c>
      <c r="C37" s="19">
        <f t="shared" si="6"/>
        <v>27.444416638337032</v>
      </c>
      <c r="D37" s="20">
        <f t="shared" si="7"/>
        <v>27.370402771836055</v>
      </c>
      <c r="E37" s="21">
        <f t="shared" si="8"/>
        <v>27.330086999658235</v>
      </c>
      <c r="F37" s="22">
        <f t="shared" si="9"/>
        <v>27.256276132406839</v>
      </c>
      <c r="G37" s="23">
        <f t="shared" si="10"/>
        <v>27.175904460079835</v>
      </c>
      <c r="H37" s="24">
        <f t="shared" si="11"/>
        <v>27.095688100918082</v>
      </c>
      <c r="I37" s="25">
        <f t="shared" si="12"/>
        <v>26.909118001339024</v>
      </c>
      <c r="K37">
        <v>29</v>
      </c>
      <c r="L37" s="18">
        <f t="shared" si="21"/>
        <v>0.50614548307835561</v>
      </c>
      <c r="M37" s="26">
        <f t="shared" si="14"/>
        <v>109.83337504249448</v>
      </c>
      <c r="N37" s="20">
        <f t="shared" si="15"/>
        <v>109.94439584224591</v>
      </c>
      <c r="O37" s="21">
        <f t="shared" si="16"/>
        <v>110.00486950051263</v>
      </c>
      <c r="P37" s="22">
        <f t="shared" si="17"/>
        <v>110.11558580138976</v>
      </c>
      <c r="Q37" s="23">
        <f t="shared" si="18"/>
        <v>110.23614330988026</v>
      </c>
      <c r="R37" s="24">
        <f t="shared" si="19"/>
        <v>110.35646784862288</v>
      </c>
      <c r="S37" s="25">
        <f t="shared" si="20"/>
        <v>110.63632299799147</v>
      </c>
      <c r="U37" s="4">
        <v>575</v>
      </c>
      <c r="V37" s="1">
        <f t="shared" si="0"/>
        <v>1.3340729557057611</v>
      </c>
      <c r="W37" s="1">
        <f t="shared" si="1"/>
        <v>59.348129743325025</v>
      </c>
      <c r="X37">
        <f t="shared" si="2"/>
        <v>41.922334578317404</v>
      </c>
      <c r="Z37">
        <f t="shared" si="3"/>
        <v>71.808137997959548</v>
      </c>
      <c r="AA37">
        <f t="shared" si="4"/>
        <v>51.171604866581703</v>
      </c>
      <c r="AG37" s="27">
        <v>41.922334578317404</v>
      </c>
      <c r="AO37">
        <v>51.171604866581703</v>
      </c>
    </row>
    <row r="38" spans="1:59">
      <c r="A38">
        <v>30</v>
      </c>
      <c r="B38" s="18">
        <f t="shared" si="5"/>
        <v>0.52359877559829882</v>
      </c>
      <c r="C38" s="19">
        <f t="shared" si="6"/>
        <v>28.259800087434073</v>
      </c>
      <c r="D38" s="20">
        <f t="shared" si="7"/>
        <v>28.18309320185017</v>
      </c>
      <c r="E38" s="21">
        <f t="shared" si="8"/>
        <v>28.141310828672246</v>
      </c>
      <c r="F38" s="22">
        <f t="shared" si="9"/>
        <v>28.064815431850477</v>
      </c>
      <c r="G38" s="23">
        <f t="shared" si="10"/>
        <v>27.981521420458279</v>
      </c>
      <c r="H38" s="24">
        <f t="shared" si="11"/>
        <v>27.898389209876228</v>
      </c>
      <c r="I38" s="25">
        <f t="shared" si="12"/>
        <v>27.705040558987761</v>
      </c>
      <c r="K38">
        <v>30</v>
      </c>
      <c r="L38" s="18">
        <f t="shared" si="21"/>
        <v>0.52359877559829882</v>
      </c>
      <c r="M38" s="26">
        <f t="shared" si="14"/>
        <v>107.6102998688489</v>
      </c>
      <c r="N38" s="20">
        <f t="shared" si="15"/>
        <v>107.72536019722475</v>
      </c>
      <c r="O38" s="21">
        <f t="shared" si="16"/>
        <v>107.78803375699164</v>
      </c>
      <c r="P38" s="22">
        <f t="shared" si="17"/>
        <v>107.90277685222429</v>
      </c>
      <c r="Q38" s="23">
        <f t="shared" si="18"/>
        <v>108.0277178693126</v>
      </c>
      <c r="R38" s="24">
        <f t="shared" si="19"/>
        <v>108.15241618518564</v>
      </c>
      <c r="S38" s="25">
        <f t="shared" si="20"/>
        <v>108.44243916151834</v>
      </c>
      <c r="U38" s="4">
        <v>580</v>
      </c>
      <c r="V38" s="1">
        <f t="shared" si="0"/>
        <v>1.3342069532938861</v>
      </c>
      <c r="W38" s="1">
        <f t="shared" si="1"/>
        <v>59.340345615407692</v>
      </c>
      <c r="X38">
        <f t="shared" si="2"/>
        <v>41.90291660216478</v>
      </c>
      <c r="Z38">
        <f t="shared" si="3"/>
        <v>71.803821588522311</v>
      </c>
      <c r="AA38">
        <f t="shared" si="4"/>
        <v>51.206622862962888</v>
      </c>
      <c r="AG38" s="27">
        <v>41.90291660216478</v>
      </c>
      <c r="AO38">
        <v>51.206622862962888</v>
      </c>
    </row>
    <row r="39" spans="1:59">
      <c r="A39">
        <v>31</v>
      </c>
      <c r="B39" s="18">
        <f t="shared" si="5"/>
        <v>0.54105206811824214</v>
      </c>
      <c r="C39" s="19">
        <f t="shared" si="6"/>
        <v>29.060832296829446</v>
      </c>
      <c r="D39" s="20">
        <f t="shared" si="7"/>
        <v>28.981419411217772</v>
      </c>
      <c r="E39" s="21">
        <f t="shared" si="8"/>
        <v>28.93816340027827</v>
      </c>
      <c r="F39" s="22">
        <f t="shared" si="9"/>
        <v>28.858970652955293</v>
      </c>
      <c r="G39" s="23">
        <f t="shared" si="10"/>
        <v>28.772740433172146</v>
      </c>
      <c r="H39" s="24">
        <f t="shared" si="11"/>
        <v>28.686678623289041</v>
      </c>
      <c r="I39" s="25">
        <f t="shared" si="12"/>
        <v>28.486519810454197</v>
      </c>
      <c r="K39">
        <v>31</v>
      </c>
      <c r="L39" s="18">
        <f t="shared" si="21"/>
        <v>0.54105206811824214</v>
      </c>
      <c r="M39" s="26">
        <f t="shared" si="14"/>
        <v>105.40875155475584</v>
      </c>
      <c r="N39" s="20">
        <f t="shared" si="15"/>
        <v>105.52787088317334</v>
      </c>
      <c r="O39" s="21">
        <f t="shared" si="16"/>
        <v>105.59275489958259</v>
      </c>
      <c r="P39" s="22">
        <f t="shared" si="17"/>
        <v>105.71154402056706</v>
      </c>
      <c r="Q39" s="23">
        <f t="shared" si="18"/>
        <v>105.84088935024178</v>
      </c>
      <c r="R39" s="24">
        <f t="shared" si="19"/>
        <v>105.96998206506643</v>
      </c>
      <c r="S39" s="25">
        <f t="shared" si="20"/>
        <v>106.2702202843187</v>
      </c>
      <c r="U39" s="4">
        <v>585</v>
      </c>
      <c r="V39" s="1">
        <f t="shared" si="0"/>
        <v>1.3343422842755945</v>
      </c>
      <c r="W39" s="1">
        <f t="shared" si="1"/>
        <v>59.332484409436091</v>
      </c>
      <c r="X39">
        <f t="shared" si="2"/>
        <v>41.883313481835813</v>
      </c>
      <c r="Z39">
        <f t="shared" si="3"/>
        <v>71.799462682537722</v>
      </c>
      <c r="AA39">
        <f t="shared" si="4"/>
        <v>51.241976726274743</v>
      </c>
      <c r="AG39" s="27">
        <v>41.883313481835813</v>
      </c>
      <c r="AO39">
        <v>51.241976726274743</v>
      </c>
    </row>
    <row r="40" spans="1:59">
      <c r="A40">
        <v>32</v>
      </c>
      <c r="B40" s="18">
        <f t="shared" ref="B40:B71" si="22">A40 *PI() / 180</f>
        <v>0.55850536063818546</v>
      </c>
      <c r="C40" s="19">
        <f t="shared" ref="C40:C71" si="23">4*ASIN(SIN(A40*PI()/180)/$C$4)*180/PI() - 2*A40</f>
        <v>29.846856365548106</v>
      </c>
      <c r="D40" s="20">
        <f t="shared" ref="D40:D71" si="24">4*ASIN(SIN(A40*PI()/180)/$D$4)*180/PI() - 2*A40</f>
        <v>29.764724343633802</v>
      </c>
      <c r="E40" s="21">
        <f t="shared" ref="E40:E71" si="25">4*ASIN(SIN(A40*PI()/180)/$E$4)*180/PI() - 2*A40</f>
        <v>29.719987575213324</v>
      </c>
      <c r="F40" s="22">
        <f t="shared" ref="F40:F71" si="26">4*ASIN(SIN(A40*PI()/180)/$F$4)*180/PI() - 2*A40</f>
        <v>29.638084507585702</v>
      </c>
      <c r="G40" s="23">
        <f t="shared" ref="G40:G71" si="27">4*ASIN(SIN(A40*PI()/180)/$G$4)*180/PI() - 2*A40</f>
        <v>29.548904052390881</v>
      </c>
      <c r="H40" s="24">
        <f t="shared" ref="H40:H71" si="28">4*ASIN(SIN(A40*PI()/180)/$H$4)*180/PI() - 2*A40</f>
        <v>29.459898742502062</v>
      </c>
      <c r="I40" s="25">
        <f t="shared" ref="I40:I71" si="29">4*ASIN(SIN(A40*PI()/180)/$I$4)*180/PI() - 2*A40</f>
        <v>29.252897819180063</v>
      </c>
      <c r="K40">
        <v>32</v>
      </c>
      <c r="L40" s="18">
        <f t="shared" si="21"/>
        <v>0.55850536063818546</v>
      </c>
      <c r="M40" s="26">
        <f t="shared" ref="M40:M71" si="30">180 - 6*ASIN(SIN(A40*PI()/180)/$M$4)*180/PI() + 2*A40</f>
        <v>103.22971545167783</v>
      </c>
      <c r="N40" s="20">
        <f t="shared" ref="N40:N71" si="31">180 - 6*ASIN(SIN(A40*PI()/180)/$N$4)*180/PI() + 2*A40</f>
        <v>103.3529134845493</v>
      </c>
      <c r="O40" s="21">
        <f t="shared" ref="O40:O71" si="32">180 - 6*ASIN(SIN(A40*PI()/180)/$O$4)*180/PI() + 2*A40</f>
        <v>103.42001863718002</v>
      </c>
      <c r="P40" s="22">
        <f t="shared" ref="P40:P71" si="33">180 - 6*ASIN(SIN(A40*PI()/180)/$P$4)*180/PI() + 2*A40</f>
        <v>103.54287323862144</v>
      </c>
      <c r="Q40" s="23">
        <f t="shared" ref="Q40:Q71" si="34">180 - 6*ASIN(SIN(A40*PI()/180)/$Q$4)*180/PI() + 2*A40</f>
        <v>103.67664392141367</v>
      </c>
      <c r="R40" s="24">
        <f t="shared" ref="R40:R71" si="35">180 - 6*ASIN(SIN(A40*PI()/180)/$R$4)*180/PI() + 2*A40</f>
        <v>103.8101518862469</v>
      </c>
      <c r="S40" s="25">
        <f t="shared" ref="S40:S71" si="36">180 - 6*ASIN(SIN(A40*PI()/180)/$S$4)*180/PI() + 2*A40</f>
        <v>104.12065327122991</v>
      </c>
      <c r="U40" s="4">
        <v>590</v>
      </c>
      <c r="V40" s="1">
        <f t="shared" si="0"/>
        <v>1.3344789535180352</v>
      </c>
      <c r="W40" s="1">
        <f t="shared" si="1"/>
        <v>59.324545853242029</v>
      </c>
      <c r="X40">
        <f t="shared" si="2"/>
        <v>41.863524747961947</v>
      </c>
      <c r="Z40">
        <f t="shared" si="3"/>
        <v>71.795061136404541</v>
      </c>
      <c r="AA40">
        <f t="shared" si="4"/>
        <v>51.277667361083672</v>
      </c>
      <c r="AG40" s="27">
        <v>41.863524747961947</v>
      </c>
      <c r="AO40">
        <v>51.277667361083672</v>
      </c>
    </row>
    <row r="41" spans="1:59">
      <c r="A41">
        <v>33</v>
      </c>
      <c r="B41" s="18">
        <f t="shared" si="22"/>
        <v>0.57595865315812877</v>
      </c>
      <c r="C41" s="19">
        <f t="shared" si="23"/>
        <v>30.617196419476059</v>
      </c>
      <c r="D41" s="20">
        <f t="shared" si="24"/>
        <v>30.532332010242982</v>
      </c>
      <c r="E41" s="21">
        <f t="shared" si="25"/>
        <v>30.486107303810712</v>
      </c>
      <c r="F41" s="22">
        <f t="shared" si="26"/>
        <v>30.401480837815782</v>
      </c>
      <c r="G41" s="23">
        <f t="shared" si="27"/>
        <v>30.30933600681513</v>
      </c>
      <c r="H41" s="24">
        <f t="shared" si="28"/>
        <v>30.217373187728512</v>
      </c>
      <c r="I41" s="25">
        <f t="shared" si="29"/>
        <v>30.003497970973655</v>
      </c>
      <c r="K41">
        <v>33</v>
      </c>
      <c r="L41" s="18">
        <f t="shared" si="21"/>
        <v>0.57595865315812877</v>
      </c>
      <c r="M41" s="26">
        <f t="shared" si="30"/>
        <v>101.07420537078593</v>
      </c>
      <c r="N41" s="20">
        <f t="shared" si="31"/>
        <v>101.20150198463554</v>
      </c>
      <c r="O41" s="21">
        <f t="shared" si="32"/>
        <v>101.27083904428395</v>
      </c>
      <c r="P41" s="22">
        <f t="shared" si="33"/>
        <v>101.39777874327632</v>
      </c>
      <c r="Q41" s="23">
        <f t="shared" si="34"/>
        <v>101.53599598977732</v>
      </c>
      <c r="R41" s="24">
        <f t="shared" si="35"/>
        <v>101.67394021840724</v>
      </c>
      <c r="S41" s="25">
        <f t="shared" si="36"/>
        <v>101.99475304353953</v>
      </c>
      <c r="U41" s="4">
        <v>595</v>
      </c>
      <c r="V41" s="1">
        <f t="shared" si="0"/>
        <v>1.3346169659479752</v>
      </c>
      <c r="W41" s="1">
        <f t="shared" si="1"/>
        <v>59.316529671316751</v>
      </c>
      <c r="X41">
        <f t="shared" si="2"/>
        <v>41.843549925820739</v>
      </c>
      <c r="Z41">
        <f t="shared" si="3"/>
        <v>71.790616804779489</v>
      </c>
      <c r="AA41">
        <f t="shared" si="4"/>
        <v>51.313695682432467</v>
      </c>
      <c r="AG41" s="27">
        <v>41.843549925820739</v>
      </c>
      <c r="AO41">
        <v>51.313695682432467</v>
      </c>
    </row>
    <row r="42" spans="1:59">
      <c r="A42">
        <v>34</v>
      </c>
      <c r="B42" s="18">
        <f t="shared" si="22"/>
        <v>0.59341194567807209</v>
      </c>
      <c r="C42" s="19">
        <f t="shared" si="23"/>
        <v>31.371156806143176</v>
      </c>
      <c r="D42" s="20">
        <f t="shared" si="24"/>
        <v>31.283546688117227</v>
      </c>
      <c r="E42" s="21">
        <f t="shared" si="25"/>
        <v>31.235826826487255</v>
      </c>
      <c r="F42" s="22">
        <f t="shared" si="26"/>
        <v>31.148463820092715</v>
      </c>
      <c r="G42" s="23">
        <f t="shared" si="27"/>
        <v>31.053340407836856</v>
      </c>
      <c r="H42" s="24">
        <f t="shared" si="28"/>
        <v>30.958406010191723</v>
      </c>
      <c r="I42" s="25">
        <f t="shared" si="29"/>
        <v>30.737624195389486</v>
      </c>
      <c r="K42">
        <v>34</v>
      </c>
      <c r="L42" s="18">
        <f t="shared" si="21"/>
        <v>0.59341194567807209</v>
      </c>
      <c r="M42" s="26">
        <f t="shared" si="30"/>
        <v>98.943264790785236</v>
      </c>
      <c r="N42" s="20">
        <f t="shared" si="31"/>
        <v>99.074679967824153</v>
      </c>
      <c r="O42" s="21">
        <f t="shared" si="32"/>
        <v>99.146259760269089</v>
      </c>
      <c r="P42" s="22">
        <f t="shared" si="33"/>
        <v>99.277304269860934</v>
      </c>
      <c r="Q42" s="23">
        <f t="shared" si="34"/>
        <v>99.419989388244716</v>
      </c>
      <c r="R42" s="24">
        <f t="shared" si="35"/>
        <v>99.562390984712408</v>
      </c>
      <c r="S42" s="25">
        <f t="shared" si="36"/>
        <v>99.893563706915785</v>
      </c>
      <c r="U42" s="5">
        <v>600</v>
      </c>
      <c r="V42" s="1">
        <f t="shared" si="0"/>
        <v>1.334756326552335</v>
      </c>
      <c r="W42" s="1">
        <f t="shared" si="1"/>
        <v>59.308435584780526</v>
      </c>
      <c r="X42">
        <f t="shared" si="2"/>
        <v>41.82338853529734</v>
      </c>
      <c r="Z42">
        <f t="shared" si="3"/>
        <v>71.786129540561987</v>
      </c>
      <c r="AA42">
        <f t="shared" si="4"/>
        <v>51.350062615919086</v>
      </c>
      <c r="AH42" s="27">
        <v>41.82338853529734</v>
      </c>
      <c r="AP42">
        <v>51.350062615919086</v>
      </c>
      <c r="AX42">
        <v>41.82338853529734</v>
      </c>
      <c r="BF42">
        <v>51.350062615919086</v>
      </c>
    </row>
    <row r="43" spans="1:59">
      <c r="A43">
        <v>35</v>
      </c>
      <c r="B43" s="18">
        <f t="shared" si="22"/>
        <v>0.6108652381980153</v>
      </c>
      <c r="C43" s="19">
        <f t="shared" si="23"/>
        <v>32.108021281265295</v>
      </c>
      <c r="D43" s="20">
        <f t="shared" si="24"/>
        <v>32.017652110764416</v>
      </c>
      <c r="E43" s="21">
        <f t="shared" si="25"/>
        <v>31.968429866410133</v>
      </c>
      <c r="F43" s="22">
        <f t="shared" si="26"/>
        <v>31.878317161848642</v>
      </c>
      <c r="G43" s="23">
        <f t="shared" si="27"/>
        <v>31.780200950439152</v>
      </c>
      <c r="H43" s="24">
        <f t="shared" si="28"/>
        <v>31.68228089729638</v>
      </c>
      <c r="I43" s="25">
        <f t="shared" si="29"/>
        <v>31.454560180800854</v>
      </c>
      <c r="K43">
        <v>35</v>
      </c>
      <c r="L43" s="18">
        <f t="shared" si="21"/>
        <v>0.6108652381980153</v>
      </c>
      <c r="M43" s="26">
        <f t="shared" si="30"/>
        <v>96.837968078102051</v>
      </c>
      <c r="N43" s="20">
        <f t="shared" si="31"/>
        <v>96.973521833853368</v>
      </c>
      <c r="O43" s="21">
        <f t="shared" si="32"/>
        <v>97.047355200384828</v>
      </c>
      <c r="P43" s="22">
        <f t="shared" si="33"/>
        <v>97.182524257227016</v>
      </c>
      <c r="Q43" s="23">
        <f t="shared" si="34"/>
        <v>97.329698574341251</v>
      </c>
      <c r="R43" s="24">
        <f t="shared" si="35"/>
        <v>97.476578654055459</v>
      </c>
      <c r="S43" s="25">
        <f t="shared" si="36"/>
        <v>97.818159728798719</v>
      </c>
      <c r="U43" s="5">
        <v>605</v>
      </c>
      <c r="V43" s="1">
        <f t="shared" si="0"/>
        <v>1.3348970403787355</v>
      </c>
      <c r="W43" s="1">
        <f t="shared" si="1"/>
        <v>59.300263311351934</v>
      </c>
      <c r="X43">
        <f t="shared" si="2"/>
        <v>41.80304009084513</v>
      </c>
      <c r="Z43">
        <f t="shared" si="3"/>
        <v>71.781599194878581</v>
      </c>
      <c r="AA43">
        <f t="shared" si="4"/>
        <v>51.386769097779194</v>
      </c>
      <c r="AH43" s="27">
        <v>41.80304009084513</v>
      </c>
      <c r="AP43">
        <v>51.386769097779194</v>
      </c>
    </row>
    <row r="44" spans="1:59">
      <c r="A44">
        <v>36</v>
      </c>
      <c r="B44" s="18">
        <f t="shared" si="22"/>
        <v>0.62831853071795862</v>
      </c>
      <c r="C44" s="19">
        <f t="shared" si="23"/>
        <v>32.827052189119186</v>
      </c>
      <c r="D44" s="20">
        <f t="shared" si="24"/>
        <v>32.733910652754503</v>
      </c>
      <c r="E44" s="21">
        <f t="shared" si="25"/>
        <v>32.683178816434776</v>
      </c>
      <c r="F44" s="22">
        <f t="shared" si="26"/>
        <v>32.590303292664927</v>
      </c>
      <c r="G44" s="23">
        <f t="shared" si="27"/>
        <v>32.489180108952212</v>
      </c>
      <c r="H44" s="24">
        <f t="shared" si="28"/>
        <v>32.388260372956836</v>
      </c>
      <c r="I44" s="25">
        <f t="shared" si="29"/>
        <v>32.15356858532293</v>
      </c>
      <c r="K44">
        <v>36</v>
      </c>
      <c r="L44" s="18">
        <f t="shared" si="21"/>
        <v>0.62831853071795862</v>
      </c>
      <c r="M44" s="26">
        <f t="shared" si="30"/>
        <v>94.759421716321185</v>
      </c>
      <c r="N44" s="20">
        <f t="shared" si="31"/>
        <v>94.899134020868246</v>
      </c>
      <c r="O44" s="21">
        <f t="shared" si="32"/>
        <v>94.975231775347822</v>
      </c>
      <c r="P44" s="22">
        <f t="shared" si="33"/>
        <v>95.114545061002616</v>
      </c>
      <c r="Q44" s="23">
        <f t="shared" si="34"/>
        <v>95.266229836571682</v>
      </c>
      <c r="R44" s="24">
        <f t="shared" si="35"/>
        <v>95.417609440564746</v>
      </c>
      <c r="S44" s="25">
        <f t="shared" si="36"/>
        <v>95.769647122015613</v>
      </c>
      <c r="U44" s="5">
        <v>610</v>
      </c>
      <c r="V44" s="1">
        <f t="shared" si="0"/>
        <v>1.3350391125360501</v>
      </c>
      <c r="W44" s="1">
        <f t="shared" si="1"/>
        <v>59.29201256531654</v>
      </c>
      <c r="X44">
        <f t="shared" si="2"/>
        <v>41.782504101445824</v>
      </c>
      <c r="Z44">
        <f t="shared" si="3"/>
        <v>71.777025617067125</v>
      </c>
      <c r="AA44">
        <f t="shared" si="4"/>
        <v>51.423816074967135</v>
      </c>
      <c r="AH44" s="27">
        <v>41.782504101445824</v>
      </c>
      <c r="AP44">
        <v>51.423816074967135</v>
      </c>
    </row>
    <row r="45" spans="1:59">
      <c r="A45">
        <v>37</v>
      </c>
      <c r="B45" s="18">
        <f t="shared" si="22"/>
        <v>0.64577182323790194</v>
      </c>
      <c r="C45" s="19">
        <f t="shared" si="23"/>
        <v>33.527489639216896</v>
      </c>
      <c r="D45" s="20">
        <f t="shared" si="24"/>
        <v>33.43156251094085</v>
      </c>
      <c r="E45" s="21">
        <f t="shared" si="25"/>
        <v>33.379313922798602</v>
      </c>
      <c r="F45" s="22">
        <f t="shared" si="26"/>
        <v>33.283662552483747</v>
      </c>
      <c r="G45" s="23">
        <f t="shared" si="27"/>
        <v>33.17951833017284</v>
      </c>
      <c r="H45" s="24">
        <f t="shared" si="28"/>
        <v>33.075584995602441</v>
      </c>
      <c r="I45" s="25">
        <f t="shared" si="29"/>
        <v>32.83389024613173</v>
      </c>
      <c r="K45">
        <v>37</v>
      </c>
      <c r="L45" s="18">
        <f t="shared" si="21"/>
        <v>0.64577182323790194</v>
      </c>
      <c r="M45" s="26">
        <f t="shared" si="30"/>
        <v>92.708765541174671</v>
      </c>
      <c r="N45" s="20">
        <f t="shared" si="31"/>
        <v>92.852656233588704</v>
      </c>
      <c r="O45" s="21">
        <f t="shared" si="32"/>
        <v>92.93102911580209</v>
      </c>
      <c r="P45" s="22">
        <f t="shared" si="33"/>
        <v>93.074506171274351</v>
      </c>
      <c r="Q45" s="23">
        <f t="shared" si="34"/>
        <v>93.230722504740754</v>
      </c>
      <c r="R45" s="24">
        <f t="shared" si="35"/>
        <v>93.386622506596353</v>
      </c>
      <c r="S45" s="25">
        <f t="shared" si="36"/>
        <v>93.749164630802397</v>
      </c>
      <c r="U45" s="5">
        <v>615</v>
      </c>
      <c r="V45" s="1">
        <f t="shared" si="0"/>
        <v>1.3351825481949682</v>
      </c>
      <c r="W45" s="1">
        <f t="shared" si="1"/>
        <v>59.283683057495168</v>
      </c>
      <c r="X45">
        <f t="shared" si="2"/>
        <v>41.761780070569188</v>
      </c>
      <c r="Z45">
        <f t="shared" si="3"/>
        <v>71.772408654660964</v>
      </c>
      <c r="AA45">
        <f t="shared" si="4"/>
        <v>51.46120450524009</v>
      </c>
      <c r="AH45" s="27">
        <v>41.761780070569188</v>
      </c>
      <c r="AP45">
        <v>51.46120450524009</v>
      </c>
    </row>
    <row r="46" spans="1:59">
      <c r="A46">
        <v>38</v>
      </c>
      <c r="B46" s="18">
        <f t="shared" si="22"/>
        <v>0.66322511575784515</v>
      </c>
      <c r="C46" s="19">
        <f t="shared" si="23"/>
        <v>34.208550682180643</v>
      </c>
      <c r="D46" s="20">
        <f t="shared" si="24"/>
        <v>34.109824885188857</v>
      </c>
      <c r="E46" s="21">
        <f t="shared" si="25"/>
        <v>34.056052468488147</v>
      </c>
      <c r="F46" s="22">
        <f t="shared" si="26"/>
        <v>33.957612379796089</v>
      </c>
      <c r="G46" s="23">
        <f t="shared" si="27"/>
        <v>33.85043322678662</v>
      </c>
      <c r="H46" s="24">
        <f t="shared" si="28"/>
        <v>33.74347255680884</v>
      </c>
      <c r="I46" s="25">
        <f t="shared" si="29"/>
        <v>33.494743390152195</v>
      </c>
      <c r="K46">
        <v>38</v>
      </c>
      <c r="L46" s="18">
        <f t="shared" si="21"/>
        <v>0.66322511575784515</v>
      </c>
      <c r="M46" s="26">
        <f t="shared" si="30"/>
        <v>90.687173976729071</v>
      </c>
      <c r="N46" s="20">
        <f t="shared" si="31"/>
        <v>90.835262672216686</v>
      </c>
      <c r="O46" s="21">
        <f t="shared" si="32"/>
        <v>90.915921297267801</v>
      </c>
      <c r="P46" s="22">
        <f t="shared" si="33"/>
        <v>91.063581430305874</v>
      </c>
      <c r="Q46" s="23">
        <f t="shared" si="34"/>
        <v>91.224350159820062</v>
      </c>
      <c r="R46" s="24">
        <f t="shared" si="35"/>
        <v>91.384791164786748</v>
      </c>
      <c r="S46" s="25">
        <f t="shared" si="36"/>
        <v>91.757884914771722</v>
      </c>
      <c r="U46" s="6">
        <v>620</v>
      </c>
      <c r="V46" s="1">
        <f t="shared" si="0"/>
        <v>1.3353273525885656</v>
      </c>
      <c r="W46" s="1">
        <f t="shared" si="1"/>
        <v>59.275274495211562</v>
      </c>
      <c r="X46">
        <f t="shared" si="2"/>
        <v>41.740867496131784</v>
      </c>
      <c r="Z46">
        <f t="shared" si="3"/>
        <v>71.767748153372452</v>
      </c>
      <c r="AA46">
        <f t="shared" si="4"/>
        <v>51.498935357242601</v>
      </c>
      <c r="AI46">
        <v>41.740867496131784</v>
      </c>
      <c r="AQ46">
        <v>51.498935357242601</v>
      </c>
      <c r="AY46">
        <v>41.740867496131784</v>
      </c>
      <c r="BG46">
        <v>51.498935357242601</v>
      </c>
    </row>
    <row r="47" spans="1:59">
      <c r="A47">
        <v>39</v>
      </c>
      <c r="B47" s="18">
        <f t="shared" si="22"/>
        <v>0.68067840827778847</v>
      </c>
      <c r="C47" s="19">
        <f t="shared" si="23"/>
        <v>34.869428488200612</v>
      </c>
      <c r="D47" s="20">
        <f t="shared" si="24"/>
        <v>34.767891162002968</v>
      </c>
      <c r="E47" s="21">
        <f t="shared" si="25"/>
        <v>34.712587959675332</v>
      </c>
      <c r="F47" s="22">
        <f t="shared" si="26"/>
        <v>34.611346503209518</v>
      </c>
      <c r="G47" s="23">
        <f t="shared" si="27"/>
        <v>34.501118774506736</v>
      </c>
      <c r="H47" s="24">
        <f t="shared" si="28"/>
        <v>34.391117283978545</v>
      </c>
      <c r="I47" s="25">
        <f t="shared" si="29"/>
        <v>34.135322849558506</v>
      </c>
      <c r="K47">
        <v>39</v>
      </c>
      <c r="L47" s="18">
        <f t="shared" si="21"/>
        <v>0.68067840827778847</v>
      </c>
      <c r="M47" s="26">
        <f t="shared" si="30"/>
        <v>88.695857267699068</v>
      </c>
      <c r="N47" s="20">
        <f t="shared" si="31"/>
        <v>88.848163256995576</v>
      </c>
      <c r="O47" s="21">
        <f t="shared" si="32"/>
        <v>88.931118060487023</v>
      </c>
      <c r="P47" s="22">
        <f t="shared" si="33"/>
        <v>89.082980245185723</v>
      </c>
      <c r="Q47" s="23">
        <f t="shared" si="34"/>
        <v>89.248321838239889</v>
      </c>
      <c r="R47" s="24">
        <f t="shared" si="35"/>
        <v>89.413324074032175</v>
      </c>
      <c r="S47" s="25">
        <f t="shared" si="36"/>
        <v>89.79701572566222</v>
      </c>
      <c r="U47" s="6">
        <v>625</v>
      </c>
      <c r="V47" s="1">
        <f t="shared" si="0"/>
        <v>1.3354735310128851</v>
      </c>
      <c r="W47" s="1">
        <f t="shared" si="1"/>
        <v>59.266786582259648</v>
      </c>
      <c r="X47">
        <f t="shared" si="2"/>
        <v>41.719765870455618</v>
      </c>
      <c r="Z47">
        <f t="shared" si="3"/>
        <v>71.763043957076533</v>
      </c>
      <c r="AA47">
        <f t="shared" si="4"/>
        <v>51.537009610592605</v>
      </c>
      <c r="AI47">
        <v>41.719765870455618</v>
      </c>
      <c r="AQ47">
        <v>51.537009610592605</v>
      </c>
    </row>
    <row r="48" spans="1:59">
      <c r="A48">
        <v>40</v>
      </c>
      <c r="B48" s="18">
        <f t="shared" si="22"/>
        <v>0.69813170079773179</v>
      </c>
      <c r="C48" s="19">
        <f t="shared" si="23"/>
        <v>35.509291531984616</v>
      </c>
      <c r="D48" s="20">
        <f t="shared" si="24"/>
        <v>35.404930104968713</v>
      </c>
      <c r="E48" s="21">
        <f t="shared" si="25"/>
        <v>35.348089319143725</v>
      </c>
      <c r="F48" s="22">
        <f t="shared" si="26"/>
        <v>35.244034140324715</v>
      </c>
      <c r="G48" s="23">
        <f t="shared" si="27"/>
        <v>35.13074451686434</v>
      </c>
      <c r="H48" s="24">
        <f t="shared" si="28"/>
        <v>35.017689051013079</v>
      </c>
      <c r="I48" s="25">
        <f t="shared" si="29"/>
        <v>34.754799286044388</v>
      </c>
      <c r="K48">
        <v>40</v>
      </c>
      <c r="L48" s="18">
        <f t="shared" si="21"/>
        <v>0.69813170079773179</v>
      </c>
      <c r="M48" s="26">
        <f t="shared" si="30"/>
        <v>86.736062702023077</v>
      </c>
      <c r="N48" s="20">
        <f t="shared" si="31"/>
        <v>86.892604842546945</v>
      </c>
      <c r="O48" s="21">
        <f t="shared" si="32"/>
        <v>86.977866021284399</v>
      </c>
      <c r="P48" s="22">
        <f t="shared" si="33"/>
        <v>87.133948789512971</v>
      </c>
      <c r="Q48" s="23">
        <f t="shared" si="34"/>
        <v>87.303883224703497</v>
      </c>
      <c r="R48" s="24">
        <f t="shared" si="35"/>
        <v>87.473466423480374</v>
      </c>
      <c r="S48" s="25">
        <f t="shared" si="36"/>
        <v>87.86780107093341</v>
      </c>
      <c r="U48" s="6">
        <v>630</v>
      </c>
      <c r="V48" s="1">
        <f t="shared" si="0"/>
        <v>1.3356210888275242</v>
      </c>
      <c r="W48" s="1">
        <f t="shared" si="1"/>
        <v>59.258219018870278</v>
      </c>
      <c r="X48">
        <f t="shared" si="2"/>
        <v>41.698474680225956</v>
      </c>
      <c r="Z48">
        <f t="shared" si="3"/>
        <v>71.758295907793979</v>
      </c>
      <c r="AA48">
        <f t="shared" si="4"/>
        <v>51.575428255968063</v>
      </c>
      <c r="AI48">
        <v>41.698474680225956</v>
      </c>
      <c r="AQ48">
        <v>51.575428255968063</v>
      </c>
    </row>
    <row r="49" spans="1:60">
      <c r="A49">
        <v>41</v>
      </c>
      <c r="B49" s="18">
        <f t="shared" si="22"/>
        <v>0.715584993317675</v>
      </c>
      <c r="C49" s="19">
        <f t="shared" si="23"/>
        <v>36.127282788687737</v>
      </c>
      <c r="D49" s="20">
        <f t="shared" si="24"/>
        <v>36.020085056503646</v>
      </c>
      <c r="E49" s="21">
        <f t="shared" si="25"/>
        <v>35.961700091201635</v>
      </c>
      <c r="F49" s="22">
        <f t="shared" si="26"/>
        <v>35.854819208421347</v>
      </c>
      <c r="G49" s="23">
        <f t="shared" si="27"/>
        <v>35.738454782157348</v>
      </c>
      <c r="H49" s="24">
        <f t="shared" si="28"/>
        <v>35.622332601488068</v>
      </c>
      <c r="I49" s="25">
        <f t="shared" si="29"/>
        <v>35.352318428384265</v>
      </c>
      <c r="K49">
        <v>41</v>
      </c>
      <c r="L49" s="18">
        <f t="shared" si="21"/>
        <v>0.715584993317675</v>
      </c>
      <c r="M49" s="26">
        <f t="shared" si="30"/>
        <v>84.809075816968374</v>
      </c>
      <c r="N49" s="20">
        <f t="shared" si="31"/>
        <v>84.969872415244538</v>
      </c>
      <c r="O49" s="21">
        <f t="shared" si="32"/>
        <v>85.057449863197519</v>
      </c>
      <c r="P49" s="22">
        <f t="shared" si="33"/>
        <v>85.217771187368015</v>
      </c>
      <c r="Q49" s="23">
        <f t="shared" si="34"/>
        <v>85.392317826763986</v>
      </c>
      <c r="R49" s="24">
        <f t="shared" si="35"/>
        <v>85.566501097767883</v>
      </c>
      <c r="S49" s="25">
        <f t="shared" si="36"/>
        <v>85.971522357423595</v>
      </c>
      <c r="U49" s="6">
        <v>635</v>
      </c>
      <c r="V49" s="1">
        <f t="shared" si="0"/>
        <v>1.3357700314562346</v>
      </c>
      <c r="W49" s="1">
        <f t="shared" si="1"/>
        <v>59.249571501677408</v>
      </c>
      <c r="X49">
        <f t="shared" si="2"/>
        <v>41.676993406448503</v>
      </c>
      <c r="Z49">
        <f t="shared" si="3"/>
        <v>71.753503845674388</v>
      </c>
      <c r="AA49">
        <f t="shared" si="4"/>
        <v>51.614192295196261</v>
      </c>
      <c r="AI49">
        <v>41.676993406448503</v>
      </c>
      <c r="AQ49">
        <v>51.614192295196261</v>
      </c>
    </row>
    <row r="50" spans="1:60">
      <c r="A50">
        <v>42</v>
      </c>
      <c r="B50" s="18">
        <f t="shared" si="22"/>
        <v>0.73303828583761843</v>
      </c>
      <c r="C50" s="19">
        <f t="shared" si="23"/>
        <v>36.722518945940692</v>
      </c>
      <c r="D50" s="20">
        <f t="shared" si="24"/>
        <v>36.612473156037325</v>
      </c>
      <c r="E50" s="21">
        <f t="shared" si="25"/>
        <v>36.552537663203125</v>
      </c>
      <c r="F50" s="22">
        <f t="shared" si="26"/>
        <v>36.442819552077651</v>
      </c>
      <c r="G50" s="23">
        <f t="shared" si="27"/>
        <v>36.323367917683157</v>
      </c>
      <c r="H50" s="24">
        <f t="shared" si="28"/>
        <v>36.204166789457958</v>
      </c>
      <c r="I50" s="25">
        <f t="shared" si="29"/>
        <v>35.927000328415744</v>
      </c>
      <c r="K50">
        <v>42</v>
      </c>
      <c r="L50" s="18">
        <f t="shared" si="21"/>
        <v>0.73303828583761843</v>
      </c>
      <c r="M50" s="26">
        <f t="shared" si="30"/>
        <v>82.91622158108899</v>
      </c>
      <c r="N50" s="20">
        <f t="shared" si="31"/>
        <v>83.081290265944006</v>
      </c>
      <c r="O50" s="21">
        <f t="shared" si="32"/>
        <v>83.171193505195305</v>
      </c>
      <c r="P50" s="22">
        <f t="shared" si="33"/>
        <v>83.335770671883552</v>
      </c>
      <c r="Q50" s="23">
        <f t="shared" si="34"/>
        <v>83.514948123475278</v>
      </c>
      <c r="R50" s="24">
        <f t="shared" si="35"/>
        <v>83.69374981581305</v>
      </c>
      <c r="S50" s="25">
        <f t="shared" si="36"/>
        <v>84.109499507376398</v>
      </c>
      <c r="U50" s="6">
        <v>640</v>
      </c>
      <c r="V50" s="1">
        <f t="shared" si="0"/>
        <v>1.3359203643875295</v>
      </c>
      <c r="W50" s="1">
        <f t="shared" si="1"/>
        <v>59.240843723683618</v>
      </c>
      <c r="X50">
        <f t="shared" si="2"/>
        <v>41.655321524406034</v>
      </c>
      <c r="Z50">
        <f t="shared" si="3"/>
        <v>71.748667608978792</v>
      </c>
      <c r="AA50">
        <f t="shared" si="4"/>
        <v>51.653302741342713</v>
      </c>
      <c r="AI50">
        <v>41.655321524406034</v>
      </c>
      <c r="AQ50">
        <v>51.653302741342713</v>
      </c>
    </row>
    <row r="51" spans="1:60">
      <c r="A51">
        <v>43</v>
      </c>
      <c r="B51" s="18">
        <f t="shared" si="22"/>
        <v>0.75049157835756164</v>
      </c>
      <c r="C51" s="19">
        <f t="shared" si="23"/>
        <v>37.294089637778512</v>
      </c>
      <c r="D51" s="20">
        <f t="shared" si="24"/>
        <v>37.181184580423079</v>
      </c>
      <c r="E51" s="21">
        <f t="shared" si="25"/>
        <v>37.119692509478881</v>
      </c>
      <c r="F51" s="22">
        <f t="shared" si="26"/>
        <v>37.007126193523405</v>
      </c>
      <c r="G51" s="23">
        <f t="shared" si="27"/>
        <v>36.884575547054098</v>
      </c>
      <c r="H51" s="24">
        <f t="shared" si="28"/>
        <v>36.76228384368838</v>
      </c>
      <c r="I51" s="25">
        <f t="shared" si="29"/>
        <v>36.47793864123453</v>
      </c>
      <c r="K51">
        <v>43</v>
      </c>
      <c r="L51" s="18">
        <f t="shared" si="21"/>
        <v>0.75049157835756164</v>
      </c>
      <c r="M51" s="26">
        <f t="shared" si="30"/>
        <v>81.058865543332217</v>
      </c>
      <c r="N51" s="20">
        <f t="shared" si="31"/>
        <v>81.228223129365375</v>
      </c>
      <c r="O51" s="21">
        <f t="shared" si="32"/>
        <v>81.320461235781693</v>
      </c>
      <c r="P51" s="22">
        <f t="shared" si="33"/>
        <v>81.489310709714886</v>
      </c>
      <c r="Q51" s="23">
        <f t="shared" si="34"/>
        <v>81.673136679418832</v>
      </c>
      <c r="R51" s="24">
        <f t="shared" si="35"/>
        <v>81.856574234467445</v>
      </c>
      <c r="S51" s="25">
        <f t="shared" si="36"/>
        <v>82.283092038148197</v>
      </c>
      <c r="U51" s="6">
        <v>645</v>
      </c>
      <c r="V51" s="1">
        <f t="shared" si="0"/>
        <v>1.3360720931752998</v>
      </c>
      <c r="W51" s="1">
        <f t="shared" si="1"/>
        <v>59.232035374225418</v>
      </c>
      <c r="X51">
        <f t="shared" si="2"/>
        <v>41.633458503614179</v>
      </c>
      <c r="Z51">
        <f t="shared" si="3"/>
        <v>71.743787034062223</v>
      </c>
      <c r="AA51">
        <f t="shared" si="4"/>
        <v>51.692760618802993</v>
      </c>
      <c r="AI51">
        <v>41.633458503614179</v>
      </c>
      <c r="AQ51">
        <v>51.692760618802993</v>
      </c>
    </row>
    <row r="52" spans="1:60">
      <c r="A52">
        <v>44</v>
      </c>
      <c r="B52" s="18">
        <f t="shared" si="22"/>
        <v>0.76794487087750496</v>
      </c>
      <c r="C52" s="19">
        <f t="shared" si="23"/>
        <v>37.841056707012953</v>
      </c>
      <c r="D52" s="20">
        <f t="shared" si="24"/>
        <v>37.725281813117377</v>
      </c>
      <c r="E52" s="21">
        <f t="shared" si="25"/>
        <v>37.662227464211199</v>
      </c>
      <c r="F52" s="22">
        <f t="shared" si="26"/>
        <v>37.546802612256656</v>
      </c>
      <c r="G52" s="23">
        <f t="shared" si="27"/>
        <v>37.421141857119281</v>
      </c>
      <c r="H52" s="24">
        <f t="shared" si="28"/>
        <v>37.295748661832732</v>
      </c>
      <c r="I52" s="25">
        <f t="shared" si="29"/>
        <v>37.004199936103603</v>
      </c>
      <c r="K52">
        <v>44</v>
      </c>
      <c r="L52" s="18">
        <f t="shared" si="21"/>
        <v>0.76794487087750496</v>
      </c>
      <c r="M52" s="26">
        <f t="shared" si="30"/>
        <v>79.238414939480577</v>
      </c>
      <c r="N52" s="20">
        <f t="shared" si="31"/>
        <v>79.412077280323984</v>
      </c>
      <c r="O52" s="21">
        <f t="shared" si="32"/>
        <v>79.506658803683223</v>
      </c>
      <c r="P52" s="22">
        <f t="shared" si="33"/>
        <v>79.679796081615024</v>
      </c>
      <c r="Q52" s="23">
        <f t="shared" si="34"/>
        <v>79.8682872143211</v>
      </c>
      <c r="R52" s="24">
        <f t="shared" si="35"/>
        <v>80.056377007250887</v>
      </c>
      <c r="S52" s="25">
        <f t="shared" si="36"/>
        <v>80.493700095844588</v>
      </c>
      <c r="U52" s="6">
        <v>650</v>
      </c>
      <c r="V52" s="1">
        <f t="shared" si="0"/>
        <v>1.3362252234394405</v>
      </c>
      <c r="W52" s="1">
        <f t="shared" si="1"/>
        <v>59.223146138937736</v>
      </c>
      <c r="X52">
        <f t="shared" si="2"/>
        <v>41.611403807777407</v>
      </c>
      <c r="Z52">
        <f t="shared" si="3"/>
        <v>71.738861955355816</v>
      </c>
      <c r="AA52">
        <f t="shared" si="4"/>
        <v>51.732566963394106</v>
      </c>
      <c r="AI52">
        <v>41.611403807777407</v>
      </c>
      <c r="AQ52">
        <v>51.732566963394106</v>
      </c>
    </row>
    <row r="53" spans="1:60">
      <c r="A53">
        <v>45</v>
      </c>
      <c r="B53" s="18">
        <f t="shared" si="22"/>
        <v>0.78539816339744828</v>
      </c>
      <c r="C53" s="19">
        <f t="shared" si="23"/>
        <v>38.362453503382085</v>
      </c>
      <c r="D53" s="20">
        <f t="shared" si="24"/>
        <v>38.243798949454259</v>
      </c>
      <c r="E53" s="21">
        <f t="shared" si="25"/>
        <v>38.17917703057401</v>
      </c>
      <c r="F53" s="22">
        <f t="shared" si="26"/>
        <v>38.06088406123385</v>
      </c>
      <c r="G53" s="23">
        <f t="shared" si="27"/>
        <v>37.932102921792591</v>
      </c>
      <c r="H53" s="24">
        <f t="shared" si="28"/>
        <v>37.803598141841718</v>
      </c>
      <c r="I53" s="25">
        <f t="shared" si="29"/>
        <v>37.504823045337346</v>
      </c>
      <c r="K53">
        <v>45</v>
      </c>
      <c r="L53" s="18">
        <f t="shared" si="21"/>
        <v>0.78539816339744828</v>
      </c>
      <c r="M53" s="26">
        <f t="shared" si="30"/>
        <v>77.456319744926873</v>
      </c>
      <c r="N53" s="20">
        <f t="shared" si="31"/>
        <v>77.634301575818597</v>
      </c>
      <c r="O53" s="21">
        <f t="shared" si="32"/>
        <v>77.731234454138985</v>
      </c>
      <c r="P53" s="22">
        <f t="shared" si="33"/>
        <v>77.90867390814924</v>
      </c>
      <c r="Q53" s="23">
        <f t="shared" si="34"/>
        <v>78.101845617311142</v>
      </c>
      <c r="R53" s="24">
        <f t="shared" si="35"/>
        <v>78.294602787237409</v>
      </c>
      <c r="S53" s="25">
        <f t="shared" si="36"/>
        <v>78.742765431993973</v>
      </c>
      <c r="U53" s="6">
        <v>655</v>
      </c>
      <c r="V53" s="1">
        <f t="shared" si="0"/>
        <v>1.3363797608664882</v>
      </c>
      <c r="W53" s="1">
        <f t="shared" si="1"/>
        <v>59.21417569971787</v>
      </c>
      <c r="X53">
        <f t="shared" si="2"/>
        <v>41.589156894743098</v>
      </c>
      <c r="Z53">
        <f t="shared" si="3"/>
        <v>71.733892205348724</v>
      </c>
      <c r="AA53">
        <f t="shared" si="4"/>
        <v>51.772722822449055</v>
      </c>
      <c r="AI53">
        <v>41.589156894743098</v>
      </c>
      <c r="AQ53">
        <v>51.772722822449055</v>
      </c>
    </row>
    <row r="54" spans="1:60">
      <c r="A54">
        <v>46</v>
      </c>
      <c r="B54" s="18">
        <f t="shared" si="22"/>
        <v>0.80285145591739149</v>
      </c>
      <c r="C54" s="19">
        <f t="shared" si="23"/>
        <v>38.857284225663165</v>
      </c>
      <c r="D54" s="20">
        <f t="shared" si="24"/>
        <v>38.735741046183477</v>
      </c>
      <c r="E54" s="21">
        <f t="shared" si="25"/>
        <v>38.669546734298876</v>
      </c>
      <c r="F54" s="22">
        <f t="shared" si="26"/>
        <v>38.548376927780481</v>
      </c>
      <c r="G54" s="23">
        <f t="shared" si="27"/>
        <v>38.416466070915618</v>
      </c>
      <c r="H54" s="24">
        <f t="shared" si="28"/>
        <v>38.284840558717406</v>
      </c>
      <c r="I54" s="25">
        <f t="shared" si="29"/>
        <v>37.978818459231832</v>
      </c>
      <c r="K54">
        <v>46</v>
      </c>
      <c r="L54" s="18">
        <f t="shared" si="21"/>
        <v>0.80285145591739149</v>
      </c>
      <c r="M54" s="26">
        <f t="shared" si="30"/>
        <v>75.714073661505267</v>
      </c>
      <c r="N54" s="20">
        <f t="shared" si="31"/>
        <v>75.896388430724784</v>
      </c>
      <c r="O54" s="21">
        <f t="shared" si="32"/>
        <v>75.995679898551657</v>
      </c>
      <c r="P54" s="22">
        <f t="shared" si="33"/>
        <v>76.177434608329293</v>
      </c>
      <c r="Q54" s="23">
        <f t="shared" si="34"/>
        <v>76.375300893626587</v>
      </c>
      <c r="R54" s="24">
        <f t="shared" si="35"/>
        <v>76.572739161923892</v>
      </c>
      <c r="S54" s="25">
        <f t="shared" si="36"/>
        <v>77.031772311152253</v>
      </c>
      <c r="U54" s="6">
        <v>660</v>
      </c>
      <c r="V54" s="1">
        <f t="shared" si="0"/>
        <v>1.3365357112102656</v>
      </c>
      <c r="W54" s="1">
        <f t="shared" si="1"/>
        <v>59.205123734689018</v>
      </c>
      <c r="X54">
        <f t="shared" si="2"/>
        <v>41.566717216456297</v>
      </c>
      <c r="Z54">
        <f t="shared" si="3"/>
        <v>71.728877614569711</v>
      </c>
      <c r="AA54">
        <f t="shared" si="4"/>
        <v>51.813229254911448</v>
      </c>
      <c r="AI54">
        <v>41.566717216456297</v>
      </c>
      <c r="AQ54">
        <v>51.813229254911448</v>
      </c>
    </row>
    <row r="55" spans="1:60">
      <c r="A55">
        <v>47</v>
      </c>
      <c r="B55" s="18">
        <f t="shared" si="22"/>
        <v>0.82030474843733492</v>
      </c>
      <c r="C55" s="19">
        <f t="shared" si="23"/>
        <v>39.324523316830039</v>
      </c>
      <c r="D55" s="20">
        <f t="shared" si="24"/>
        <v>39.200083524333365</v>
      </c>
      <c r="E55" s="21">
        <f t="shared" si="25"/>
        <v>39.132312530717059</v>
      </c>
      <c r="F55" s="22">
        <f t="shared" si="26"/>
        <v>39.008258148249411</v>
      </c>
      <c r="G55" s="23">
        <f t="shared" si="27"/>
        <v>38.873209313160203</v>
      </c>
      <c r="H55" s="24">
        <f t="shared" si="28"/>
        <v>38.738454995592207</v>
      </c>
      <c r="I55" s="25">
        <f t="shared" si="29"/>
        <v>38.425167775963189</v>
      </c>
      <c r="K55">
        <v>47</v>
      </c>
      <c r="L55" s="18">
        <f t="shared" si="21"/>
        <v>0.82030474843733492</v>
      </c>
      <c r="M55" s="26">
        <f t="shared" si="30"/>
        <v>74.013215024754942</v>
      </c>
      <c r="N55" s="20">
        <f t="shared" si="31"/>
        <v>74.199874713499952</v>
      </c>
      <c r="O55" s="21">
        <f t="shared" si="32"/>
        <v>74.301531203924412</v>
      </c>
      <c r="P55" s="22">
        <f t="shared" si="33"/>
        <v>74.487612777625856</v>
      </c>
      <c r="Q55" s="23">
        <f t="shared" si="34"/>
        <v>74.690186030259696</v>
      </c>
      <c r="R55" s="24">
        <f t="shared" si="35"/>
        <v>74.892317506611676</v>
      </c>
      <c r="S55" s="25">
        <f t="shared" si="36"/>
        <v>75.362248336055217</v>
      </c>
      <c r="U55" s="6">
        <v>665</v>
      </c>
      <c r="V55" s="1">
        <f t="shared" si="0"/>
        <v>1.3366930802925385</v>
      </c>
      <c r="W55" s="1">
        <f t="shared" si="1"/>
        <v>59.195989918163143</v>
      </c>
      <c r="X55">
        <f t="shared" si="2"/>
        <v>41.544084218912573</v>
      </c>
      <c r="Z55">
        <f t="shared" si="3"/>
        <v>71.723818011568525</v>
      </c>
      <c r="AA55">
        <f t="shared" si="4"/>
        <v>51.854087331432112</v>
      </c>
      <c r="AI55">
        <v>41.544084218912573</v>
      </c>
      <c r="AQ55">
        <v>51.854087331432112</v>
      </c>
    </row>
    <row r="56" spans="1:60">
      <c r="A56">
        <v>48</v>
      </c>
      <c r="B56" s="18">
        <f t="shared" si="22"/>
        <v>0.83775804095727813</v>
      </c>
      <c r="C56" s="19">
        <f t="shared" si="23"/>
        <v>39.763114922288196</v>
      </c>
      <c r="D56" s="20">
        <f t="shared" si="24"/>
        <v>39.635771635402335</v>
      </c>
      <c r="E56" s="21">
        <f t="shared" si="25"/>
        <v>39.566420275263994</v>
      </c>
      <c r="F56" s="22">
        <f t="shared" si="26"/>
        <v>39.439474686385381</v>
      </c>
      <c r="G56" s="23">
        <f t="shared" si="27"/>
        <v>39.301280822896302</v>
      </c>
      <c r="H56" s="24">
        <f t="shared" si="28"/>
        <v>39.163390839027187</v>
      </c>
      <c r="I56" s="25">
        <f t="shared" si="29"/>
        <v>38.842823216273814</v>
      </c>
      <c r="K56">
        <v>48</v>
      </c>
      <c r="L56" s="18">
        <f t="shared" si="21"/>
        <v>0.83775804095727813</v>
      </c>
      <c r="M56" s="26">
        <f t="shared" si="30"/>
        <v>72.355327616567735</v>
      </c>
      <c r="N56" s="20">
        <f t="shared" si="31"/>
        <v>72.546342546896483</v>
      </c>
      <c r="O56" s="21">
        <f t="shared" si="32"/>
        <v>72.650369587104024</v>
      </c>
      <c r="P56" s="22">
        <f t="shared" si="33"/>
        <v>72.840787970421928</v>
      </c>
      <c r="Q56" s="23">
        <f t="shared" si="34"/>
        <v>73.048078765655561</v>
      </c>
      <c r="R56" s="24">
        <f t="shared" si="35"/>
        <v>73.254913741459234</v>
      </c>
      <c r="S56" s="25">
        <f t="shared" si="36"/>
        <v>73.735765175589279</v>
      </c>
      <c r="U56" s="6">
        <v>670</v>
      </c>
      <c r="V56" s="1">
        <f t="shared" si="0"/>
        <v>1.3368518740036828</v>
      </c>
      <c r="W56" s="1">
        <f t="shared" si="1"/>
        <v>59.186773920603137</v>
      </c>
      <c r="X56">
        <f t="shared" si="2"/>
        <v>41.521257342111241</v>
      </c>
      <c r="Z56">
        <f t="shared" si="3"/>
        <v>71.718713222896881</v>
      </c>
      <c r="AA56">
        <f t="shared" si="4"/>
        <v>51.895298134466856</v>
      </c>
      <c r="AI56">
        <v>41.521257342111241</v>
      </c>
      <c r="AQ56">
        <v>51.895298134466856</v>
      </c>
    </row>
    <row r="57" spans="1:60">
      <c r="A57">
        <v>49</v>
      </c>
      <c r="B57" s="18">
        <f t="shared" si="22"/>
        <v>0.85521133347722145</v>
      </c>
      <c r="C57" s="19">
        <f t="shared" si="23"/>
        <v>40.171972422205727</v>
      </c>
      <c r="D57" s="20">
        <f t="shared" si="24"/>
        <v>40.041720001861364</v>
      </c>
      <c r="E57" s="21">
        <f t="shared" si="25"/>
        <v>39.970785268409827</v>
      </c>
      <c r="F57" s="22">
        <f t="shared" si="26"/>
        <v>39.840943086321147</v>
      </c>
      <c r="G57" s="23">
        <f t="shared" si="27"/>
        <v>39.699598501910089</v>
      </c>
      <c r="H57" s="24">
        <f t="shared" si="28"/>
        <v>39.558567349372282</v>
      </c>
      <c r="I57" s="25">
        <f t="shared" si="29"/>
        <v>39.230707213693393</v>
      </c>
      <c r="K57">
        <v>49</v>
      </c>
      <c r="L57" s="18">
        <f t="shared" si="21"/>
        <v>0.85521133347722145</v>
      </c>
      <c r="M57" s="26">
        <f t="shared" si="30"/>
        <v>70.74204136669141</v>
      </c>
      <c r="N57" s="20">
        <f t="shared" si="31"/>
        <v>70.937419997207968</v>
      </c>
      <c r="O57" s="21">
        <f t="shared" si="32"/>
        <v>71.043822097385288</v>
      </c>
      <c r="P57" s="22">
        <f t="shared" si="33"/>
        <v>71.238585370518251</v>
      </c>
      <c r="Q57" s="23">
        <f t="shared" si="34"/>
        <v>71.450602247134867</v>
      </c>
      <c r="R57" s="24">
        <f t="shared" si="35"/>
        <v>71.662148975941562</v>
      </c>
      <c r="S57" s="25">
        <f t="shared" si="36"/>
        <v>72.153939179459911</v>
      </c>
      <c r="U57" s="6">
        <v>675</v>
      </c>
      <c r="V57" s="1">
        <f t="shared" si="0"/>
        <v>1.3370120983033595</v>
      </c>
      <c r="W57" s="1">
        <f t="shared" si="1"/>
        <v>59.177475408584719</v>
      </c>
      <c r="X57">
        <f t="shared" si="2"/>
        <v>41.49823602000744</v>
      </c>
      <c r="Z57">
        <f t="shared" si="3"/>
        <v>71.713563073089347</v>
      </c>
      <c r="AA57">
        <f t="shared" si="4"/>
        <v>51.936862758375582</v>
      </c>
      <c r="AI57">
        <v>41.49823602000744</v>
      </c>
      <c r="AQ57">
        <v>51.936862758375582</v>
      </c>
    </row>
    <row r="58" spans="1:60">
      <c r="A58">
        <v>50</v>
      </c>
      <c r="B58" s="18">
        <f t="shared" si="22"/>
        <v>0.87266462599716477</v>
      </c>
      <c r="C58" s="19">
        <f t="shared" si="23"/>
        <v>40.549978049985299</v>
      </c>
      <c r="D58" s="20">
        <f t="shared" si="24"/>
        <v>40.416812243963989</v>
      </c>
      <c r="E58" s="21">
        <f t="shared" si="25"/>
        <v>40.344291886987293</v>
      </c>
      <c r="F58" s="22">
        <f t="shared" si="26"/>
        <v>40.211549112130342</v>
      </c>
      <c r="G58" s="23">
        <f t="shared" si="27"/>
        <v>40.0670496278467</v>
      </c>
      <c r="H58" s="24">
        <f t="shared" si="28"/>
        <v>39.922873318013245</v>
      </c>
      <c r="I58" s="25">
        <f t="shared" si="29"/>
        <v>39.587712091998526</v>
      </c>
      <c r="K58">
        <v>50</v>
      </c>
      <c r="L58" s="18">
        <f t="shared" si="21"/>
        <v>0.87266462599716477</v>
      </c>
      <c r="M58" s="26">
        <f t="shared" si="30"/>
        <v>69.175032925022094</v>
      </c>
      <c r="N58" s="20">
        <f t="shared" si="31"/>
        <v>69.374781634053988</v>
      </c>
      <c r="O58" s="21">
        <f t="shared" si="32"/>
        <v>69.483562169519104</v>
      </c>
      <c r="P58" s="22">
        <f t="shared" si="33"/>
        <v>69.682676331804544</v>
      </c>
      <c r="Q58" s="23">
        <f t="shared" si="34"/>
        <v>69.899425558229979</v>
      </c>
      <c r="R58" s="24">
        <f t="shared" si="35"/>
        <v>70.115690022980118</v>
      </c>
      <c r="S58" s="25">
        <f t="shared" si="36"/>
        <v>70.618431862002211</v>
      </c>
      <c r="U58" s="7">
        <v>680</v>
      </c>
      <c r="V58" s="1">
        <f t="shared" si="0"/>
        <v>1.3371737592212039</v>
      </c>
      <c r="W58" s="1">
        <f t="shared" si="1"/>
        <v>59.16809404475736</v>
      </c>
      <c r="X58">
        <f t="shared" si="2"/>
        <v>41.47501968046349</v>
      </c>
      <c r="Z58">
        <f t="shared" si="3"/>
        <v>71.708367384643623</v>
      </c>
      <c r="AA58">
        <f t="shared" si="4"/>
        <v>51.978782309523183</v>
      </c>
      <c r="AJ58" s="27">
        <v>41.47501968046349</v>
      </c>
      <c r="AR58" s="27">
        <v>51.978782309523183</v>
      </c>
      <c r="AZ58" s="27">
        <v>41.47501968046349</v>
      </c>
      <c r="BH58">
        <v>51.978782309523183</v>
      </c>
    </row>
    <row r="59" spans="1:60">
      <c r="A59">
        <v>51</v>
      </c>
      <c r="B59" s="18">
        <f t="shared" si="22"/>
        <v>0.89011791851710798</v>
      </c>
      <c r="C59" s="19">
        <f t="shared" si="23"/>
        <v>40.895982609968257</v>
      </c>
      <c r="D59" s="20">
        <f t="shared" si="24"/>
        <v>40.75990070589998</v>
      </c>
      <c r="E59" s="21">
        <f t="shared" si="25"/>
        <v>40.685793314919977</v>
      </c>
      <c r="F59" s="22">
        <f t="shared" si="26"/>
        <v>40.55014748688285</v>
      </c>
      <c r="G59" s="23">
        <f t="shared" si="27"/>
        <v>40.402490602260741</v>
      </c>
      <c r="H59" s="24">
        <f t="shared" si="28"/>
        <v>40.2551668243253</v>
      </c>
      <c r="I59" s="25">
        <f t="shared" si="29"/>
        <v>39.91269984258787</v>
      </c>
      <c r="K59">
        <v>51</v>
      </c>
      <c r="L59" s="18">
        <f t="shared" si="21"/>
        <v>0.89011791851710798</v>
      </c>
      <c r="M59" s="26">
        <f t="shared" si="30"/>
        <v>67.656026085047642</v>
      </c>
      <c r="N59" s="20">
        <f t="shared" si="31"/>
        <v>67.860148941150015</v>
      </c>
      <c r="O59" s="21">
        <f t="shared" si="32"/>
        <v>67.971310027620035</v>
      </c>
      <c r="P59" s="22">
        <f t="shared" si="33"/>
        <v>68.174778769675726</v>
      </c>
      <c r="Q59" s="23">
        <f t="shared" si="34"/>
        <v>68.39626409660886</v>
      </c>
      <c r="R59" s="24">
        <f t="shared" si="35"/>
        <v>68.617249763512035</v>
      </c>
      <c r="S59" s="25">
        <f t="shared" si="36"/>
        <v>69.130950236118167</v>
      </c>
      <c r="U59" s="7">
        <v>685</v>
      </c>
      <c r="V59" s="1">
        <f t="shared" si="0"/>
        <v>1.3373368628575217</v>
      </c>
      <c r="W59" s="1">
        <f t="shared" si="1"/>
        <v>59.158629487804795</v>
      </c>
      <c r="X59">
        <f t="shared" si="2"/>
        <v>41.451607745199979</v>
      </c>
      <c r="Z59">
        <f t="shared" si="3"/>
        <v>71.703125978000898</v>
      </c>
      <c r="AA59">
        <f t="shared" si="4"/>
        <v>52.021057906381856</v>
      </c>
      <c r="AJ59" s="27">
        <v>41.451607745199979</v>
      </c>
      <c r="AR59" s="27">
        <v>52.021057906381856</v>
      </c>
    </row>
    <row r="60" spans="1:60">
      <c r="A60">
        <v>52</v>
      </c>
      <c r="B60" s="18">
        <f t="shared" si="22"/>
        <v>0.90757121103705141</v>
      </c>
      <c r="C60" s="19">
        <f t="shared" si="23"/>
        <v>41.2088053085171</v>
      </c>
      <c r="D60" s="20">
        <f t="shared" si="24"/>
        <v>41.069806295368664</v>
      </c>
      <c r="E60" s="21">
        <f t="shared" si="25"/>
        <v>40.994111387391683</v>
      </c>
      <c r="F60" s="22">
        <f t="shared" si="26"/>
        <v>40.855561745175066</v>
      </c>
      <c r="G60" s="23">
        <f t="shared" si="27"/>
        <v>40.704746812172317</v>
      </c>
      <c r="H60" s="24">
        <f t="shared" si="28"/>
        <v>40.554275106156496</v>
      </c>
      <c r="I60" s="25">
        <f t="shared" si="29"/>
        <v>40.204502015419934</v>
      </c>
      <c r="K60">
        <v>52</v>
      </c>
      <c r="L60" s="18">
        <f t="shared" si="21"/>
        <v>0.90757121103705141</v>
      </c>
      <c r="M60" s="26">
        <f t="shared" si="30"/>
        <v>66.186792037224336</v>
      </c>
      <c r="N60" s="20">
        <f t="shared" si="31"/>
        <v>66.395290556946975</v>
      </c>
      <c r="O60" s="21">
        <f t="shared" si="32"/>
        <v>66.508832918912475</v>
      </c>
      <c r="P60" s="22">
        <f t="shared" si="33"/>
        <v>66.7166573822374</v>
      </c>
      <c r="Q60" s="23">
        <f t="shared" si="34"/>
        <v>66.94287978174151</v>
      </c>
      <c r="R60" s="24">
        <f t="shared" si="35"/>
        <v>67.168587340765242</v>
      </c>
      <c r="S60" s="25">
        <f t="shared" si="36"/>
        <v>67.693246976870114</v>
      </c>
      <c r="U60" s="7">
        <v>690</v>
      </c>
      <c r="V60" s="1">
        <f t="shared" si="0"/>
        <v>1.3375014153839995</v>
      </c>
      <c r="W60" s="1">
        <f t="shared" si="1"/>
        <v>59.149081392404973</v>
      </c>
      <c r="X60">
        <f t="shared" si="2"/>
        <v>41.427999629745344</v>
      </c>
      <c r="Z60">
        <f t="shared" si="3"/>
        <v>71.697838671525417</v>
      </c>
      <c r="AA60">
        <f t="shared" si="4"/>
        <v>52.06369067963405</v>
      </c>
      <c r="AJ60" s="27">
        <v>41.427999629745344</v>
      </c>
      <c r="AR60" s="27">
        <v>52.06369067963405</v>
      </c>
    </row>
    <row r="61" spans="1:60">
      <c r="A61">
        <v>53</v>
      </c>
      <c r="B61" s="18">
        <f t="shared" si="22"/>
        <v>0.92502450355699462</v>
      </c>
      <c r="C61" s="19">
        <f t="shared" si="23"/>
        <v>41.487233713674271</v>
      </c>
      <c r="D61" s="20">
        <f t="shared" si="24"/>
        <v>41.34531845168857</v>
      </c>
      <c r="E61" s="21">
        <f t="shared" si="25"/>
        <v>41.268036563527744</v>
      </c>
      <c r="F61" s="22">
        <f t="shared" si="26"/>
        <v>41.12658421412354</v>
      </c>
      <c r="G61" s="23">
        <f t="shared" si="27"/>
        <v>40.972612620028315</v>
      </c>
      <c r="H61" s="24">
        <f t="shared" si="28"/>
        <v>40.818994558652975</v>
      </c>
      <c r="I61" s="25">
        <f t="shared" si="29"/>
        <v>40.461919738122617</v>
      </c>
      <c r="K61">
        <v>53</v>
      </c>
      <c r="L61" s="18">
        <f t="shared" si="21"/>
        <v>0.92502450355699462</v>
      </c>
      <c r="M61" s="26">
        <f t="shared" si="30"/>
        <v>64.769149429488607</v>
      </c>
      <c r="N61" s="20">
        <f t="shared" si="31"/>
        <v>64.982022322467145</v>
      </c>
      <c r="O61" s="21">
        <f t="shared" si="32"/>
        <v>65.097945154708384</v>
      </c>
      <c r="P61" s="22">
        <f t="shared" si="33"/>
        <v>65.310123678814705</v>
      </c>
      <c r="Q61" s="23">
        <f t="shared" si="34"/>
        <v>65.541081069957556</v>
      </c>
      <c r="R61" s="24">
        <f t="shared" si="35"/>
        <v>65.771508162020552</v>
      </c>
      <c r="S61" s="25">
        <f t="shared" si="36"/>
        <v>66.307120392816046</v>
      </c>
      <c r="U61" s="7">
        <v>695</v>
      </c>
      <c r="V61" s="1">
        <f t="shared" si="0"/>
        <v>1.3376674230444234</v>
      </c>
      <c r="W61" s="1">
        <f t="shared" si="1"/>
        <v>59.139449409189126</v>
      </c>
      <c r="X61">
        <f t="shared" si="2"/>
        <v>41.404194743385773</v>
      </c>
      <c r="Z61">
        <f t="shared" si="3"/>
        <v>71.69250528148433</v>
      </c>
      <c r="AA61">
        <f t="shared" si="4"/>
        <v>52.106681772278421</v>
      </c>
      <c r="AJ61" s="27">
        <v>41.404194743385773</v>
      </c>
      <c r="AR61" s="27">
        <v>52.106681772278421</v>
      </c>
    </row>
    <row r="62" spans="1:60">
      <c r="A62">
        <v>54</v>
      </c>
      <c r="B62" s="18">
        <f t="shared" si="22"/>
        <v>0.94247779607693793</v>
      </c>
      <c r="C62" s="19">
        <f t="shared" si="23"/>
        <v>41.730023859615443</v>
      </c>
      <c r="D62" s="20">
        <f t="shared" si="24"/>
        <v>41.585195258565733</v>
      </c>
      <c r="E62" s="21">
        <f t="shared" si="25"/>
        <v>41.506328043659096</v>
      </c>
      <c r="F62" s="22">
        <f t="shared" si="26"/>
        <v>41.361976138798866</v>
      </c>
      <c r="G62" s="23">
        <f t="shared" si="27"/>
        <v>41.204851497942457</v>
      </c>
      <c r="H62" s="24">
        <f t="shared" si="28"/>
        <v>41.048090877195989</v>
      </c>
      <c r="I62" s="25">
        <f t="shared" si="29"/>
        <v>40.683723878804841</v>
      </c>
      <c r="K62">
        <v>54</v>
      </c>
      <c r="L62" s="18">
        <f t="shared" si="21"/>
        <v>0.94247779607693793</v>
      </c>
      <c r="M62" s="26">
        <f t="shared" si="30"/>
        <v>63.40496421057685</v>
      </c>
      <c r="N62" s="20">
        <f t="shared" si="31"/>
        <v>63.622207112151415</v>
      </c>
      <c r="O62" s="21">
        <f t="shared" si="32"/>
        <v>63.740507934511356</v>
      </c>
      <c r="P62" s="22">
        <f t="shared" si="33"/>
        <v>63.957035791801673</v>
      </c>
      <c r="Q62" s="23">
        <f t="shared" si="34"/>
        <v>64.192722753086315</v>
      </c>
      <c r="R62" s="24">
        <f t="shared" si="35"/>
        <v>64.427863684206045</v>
      </c>
      <c r="S62" s="25">
        <f t="shared" si="36"/>
        <v>64.974414181792753</v>
      </c>
      <c r="U62" s="7">
        <v>700</v>
      </c>
      <c r="V62" s="1">
        <f t="shared" si="0"/>
        <v>1.3378348921554106</v>
      </c>
      <c r="W62" s="1">
        <f t="shared" si="1"/>
        <v>59.129733184700527</v>
      </c>
      <c r="X62">
        <f t="shared" si="2"/>
        <v>41.380192489113739</v>
      </c>
      <c r="Z62">
        <f t="shared" si="3"/>
        <v>71.687125622026699</v>
      </c>
      <c r="AA62">
        <f t="shared" si="4"/>
        <v>52.15003233973593</v>
      </c>
      <c r="AJ62" s="27">
        <v>41.380192489113739</v>
      </c>
      <c r="AR62" s="27">
        <v>52.15003233973593</v>
      </c>
    </row>
    <row r="63" spans="1:60">
      <c r="A63">
        <v>55</v>
      </c>
      <c r="B63" s="18">
        <f t="shared" si="22"/>
        <v>0.95993108859688125</v>
      </c>
      <c r="C63" s="19">
        <f t="shared" si="23"/>
        <v>41.935900513083027</v>
      </c>
      <c r="D63" s="20">
        <f t="shared" si="24"/>
        <v>41.788163718596394</v>
      </c>
      <c r="E63" s="21">
        <f t="shared" si="25"/>
        <v>41.707714048184187</v>
      </c>
      <c r="F63" s="22">
        <f t="shared" si="26"/>
        <v>41.560467969004378</v>
      </c>
      <c r="G63" s="23">
        <f t="shared" si="27"/>
        <v>41.400196323000102</v>
      </c>
      <c r="H63" s="24">
        <f t="shared" si="28"/>
        <v>41.240299361118161</v>
      </c>
      <c r="I63" s="25">
        <f t="shared" si="29"/>
        <v>40.868655368963459</v>
      </c>
      <c r="K63">
        <v>55</v>
      </c>
      <c r="L63" s="18">
        <f t="shared" si="21"/>
        <v>0.95993108859688125</v>
      </c>
      <c r="M63" s="26">
        <f t="shared" si="30"/>
        <v>62.09614923037546</v>
      </c>
      <c r="N63" s="20">
        <f t="shared" si="31"/>
        <v>62.317754422105395</v>
      </c>
      <c r="O63" s="21">
        <f t="shared" si="32"/>
        <v>62.43842892772372</v>
      </c>
      <c r="P63" s="22">
        <f t="shared" si="33"/>
        <v>62.659298046493404</v>
      </c>
      <c r="Q63" s="23">
        <f t="shared" si="34"/>
        <v>62.899705515499818</v>
      </c>
      <c r="R63" s="24">
        <f t="shared" si="35"/>
        <v>63.139550958322758</v>
      </c>
      <c r="S63" s="25">
        <f t="shared" si="36"/>
        <v>63.697016946554811</v>
      </c>
      <c r="U63" s="7">
        <v>705</v>
      </c>
      <c r="V63" s="1">
        <f t="shared" si="0"/>
        <v>1.3380038291071525</v>
      </c>
      <c r="W63" s="1">
        <f t="shared" si="1"/>
        <v>59.119932361352205</v>
      </c>
      <c r="X63">
        <f t="shared" si="2"/>
        <v>41.355992263575743</v>
      </c>
      <c r="Z63">
        <f t="shared" si="3"/>
        <v>71.681699505162427</v>
      </c>
      <c r="AA63">
        <f t="shared" si="4"/>
        <v>52.193743549958555</v>
      </c>
      <c r="AJ63" s="27">
        <v>41.355992263575743</v>
      </c>
      <c r="AR63" s="27">
        <v>52.193743549958555</v>
      </c>
    </row>
    <row r="64" spans="1:60">
      <c r="A64">
        <v>56</v>
      </c>
      <c r="B64" s="18">
        <f t="shared" si="22"/>
        <v>0.97738438111682457</v>
      </c>
      <c r="C64" s="19">
        <f t="shared" si="23"/>
        <v>42.10355761987438</v>
      </c>
      <c r="D64" s="20">
        <f t="shared" si="24"/>
        <v>41.952920207450916</v>
      </c>
      <c r="E64" s="21">
        <f t="shared" si="25"/>
        <v>41.870892275907835</v>
      </c>
      <c r="F64" s="22">
        <f t="shared" si="26"/>
        <v>41.720759825153351</v>
      </c>
      <c r="G64" s="23">
        <f t="shared" si="27"/>
        <v>41.557349851244709</v>
      </c>
      <c r="H64" s="24">
        <f t="shared" si="28"/>
        <v>41.394325395681278</v>
      </c>
      <c r="I64" s="25">
        <f t="shared" si="29"/>
        <v>41.015425703656291</v>
      </c>
      <c r="K64">
        <v>56</v>
      </c>
      <c r="L64" s="18">
        <f t="shared" si="21"/>
        <v>0.97738438111682457</v>
      </c>
      <c r="M64" s="26">
        <f t="shared" si="30"/>
        <v>60.84466357018843</v>
      </c>
      <c r="N64" s="20">
        <f t="shared" si="31"/>
        <v>61.070619688823598</v>
      </c>
      <c r="O64" s="21">
        <f t="shared" si="32"/>
        <v>61.193661586138205</v>
      </c>
      <c r="P64" s="22">
        <f t="shared" si="33"/>
        <v>61.418860262269931</v>
      </c>
      <c r="Q64" s="23">
        <f t="shared" si="34"/>
        <v>61.663975223132951</v>
      </c>
      <c r="R64" s="24">
        <f t="shared" si="35"/>
        <v>61.908511906478083</v>
      </c>
      <c r="S64" s="25">
        <f t="shared" si="36"/>
        <v>62.476861444515521</v>
      </c>
      <c r="U64" s="7">
        <v>710</v>
      </c>
      <c r="V64" s="1">
        <f t="shared" si="0"/>
        <v>1.3381742403641677</v>
      </c>
      <c r="W64" s="1">
        <f t="shared" si="1"/>
        <v>59.110046577384409</v>
      </c>
      <c r="X64">
        <f t="shared" si="2"/>
        <v>41.331593457019807</v>
      </c>
      <c r="Z64">
        <f t="shared" si="3"/>
        <v>71.676226740740915</v>
      </c>
      <c r="AA64">
        <f t="shared" si="4"/>
        <v>52.237816583538319</v>
      </c>
      <c r="AJ64" s="27">
        <v>41.331593457019807</v>
      </c>
      <c r="AR64" s="27">
        <v>52.237816583538319</v>
      </c>
    </row>
    <row r="65" spans="1:44">
      <c r="A65">
        <v>57</v>
      </c>
      <c r="B65" s="18">
        <f t="shared" si="22"/>
        <v>0.99483767363676778</v>
      </c>
      <c r="C65" s="19">
        <f t="shared" si="23"/>
        <v>42.231658950226176</v>
      </c>
      <c r="D65" s="20">
        <f t="shared" si="24"/>
        <v>42.078131126438848</v>
      </c>
      <c r="E65" s="21">
        <f t="shared" si="25"/>
        <v>41.994530560478694</v>
      </c>
      <c r="F65" s="22">
        <f t="shared" si="26"/>
        <v>41.841522161725464</v>
      </c>
      <c r="G65" s="23">
        <f t="shared" si="27"/>
        <v>41.674985388673377</v>
      </c>
      <c r="H65" s="24">
        <f t="shared" si="28"/>
        <v>41.508845130490528</v>
      </c>
      <c r="I65" s="25">
        <f t="shared" si="29"/>
        <v>41.122717636765429</v>
      </c>
      <c r="K65">
        <v>57</v>
      </c>
      <c r="L65" s="18">
        <f t="shared" si="21"/>
        <v>0.99483767363676778</v>
      </c>
      <c r="M65" s="26">
        <f t="shared" si="30"/>
        <v>59.652511574660736</v>
      </c>
      <c r="N65" s="20">
        <f t="shared" si="31"/>
        <v>59.882803310341757</v>
      </c>
      <c r="O65" s="21">
        <f t="shared" si="32"/>
        <v>60.008204159281945</v>
      </c>
      <c r="P65" s="22">
        <f t="shared" si="33"/>
        <v>60.237716757411818</v>
      </c>
      <c r="Q65" s="23">
        <f t="shared" si="34"/>
        <v>60.487521916989891</v>
      </c>
      <c r="R65" s="24">
        <f t="shared" si="35"/>
        <v>60.736732304264194</v>
      </c>
      <c r="S65" s="25">
        <f t="shared" si="36"/>
        <v>61.31592354485187</v>
      </c>
      <c r="U65" s="7">
        <v>715</v>
      </c>
      <c r="V65" s="1">
        <f t="shared" si="0"/>
        <v>1.3383461324660677</v>
      </c>
      <c r="W65" s="1">
        <f t="shared" si="1"/>
        <v>59.100075466821146</v>
      </c>
      <c r="X65">
        <f t="shared" si="2"/>
        <v>41.306995453241868</v>
      </c>
      <c r="Z65">
        <f t="shared" si="3"/>
        <v>71.670707136429257</v>
      </c>
      <c r="AA65">
        <f t="shared" si="4"/>
        <v>52.282252633819496</v>
      </c>
      <c r="AJ65" s="27">
        <v>41.306995453241868</v>
      </c>
      <c r="AR65" s="27">
        <v>52.282252633819496</v>
      </c>
    </row>
    <row r="66" spans="1:44">
      <c r="A66">
        <v>58</v>
      </c>
      <c r="B66" s="18">
        <f t="shared" si="22"/>
        <v>1.0122909661567112</v>
      </c>
      <c r="C66" s="19">
        <f t="shared" si="23"/>
        <v>42.318838962553656</v>
      </c>
      <c r="D66" s="20">
        <f t="shared" si="24"/>
        <v>42.162433772753786</v>
      </c>
      <c r="E66" s="21">
        <f t="shared" si="25"/>
        <v>42.077267744137345</v>
      </c>
      <c r="F66" s="22">
        <f t="shared" si="26"/>
        <v>41.921396647356346</v>
      </c>
      <c r="G66" s="23">
        <f t="shared" si="27"/>
        <v>41.751747678126037</v>
      </c>
      <c r="H66" s="24">
        <f t="shared" si="28"/>
        <v>41.582506373060028</v>
      </c>
      <c r="I66" s="25">
        <f t="shared" si="29"/>
        <v>41.18918608967428</v>
      </c>
      <c r="K66">
        <v>58</v>
      </c>
      <c r="L66" s="18">
        <f t="shared" si="21"/>
        <v>1.0122909661567112</v>
      </c>
      <c r="M66" s="26">
        <f t="shared" si="30"/>
        <v>58.52174155616953</v>
      </c>
      <c r="N66" s="20">
        <f t="shared" si="31"/>
        <v>58.75634934086932</v>
      </c>
      <c r="O66" s="21">
        <f t="shared" si="32"/>
        <v>58.884098383793997</v>
      </c>
      <c r="P66" s="22">
        <f t="shared" si="33"/>
        <v>59.117905028965424</v>
      </c>
      <c r="Q66" s="23">
        <f t="shared" si="34"/>
        <v>59.372378482810973</v>
      </c>
      <c r="R66" s="24">
        <f t="shared" si="35"/>
        <v>59.626240440409958</v>
      </c>
      <c r="S66" s="25">
        <f t="shared" si="36"/>
        <v>60.216220865488594</v>
      </c>
      <c r="U66" s="7">
        <v>720</v>
      </c>
      <c r="V66" s="1">
        <f t="shared" si="0"/>
        <v>1.3385195120283366</v>
      </c>
      <c r="W66" s="1">
        <f t="shared" si="1"/>
        <v>59.090018659425937</v>
      </c>
      <c r="X66">
        <f t="shared" si="2"/>
        <v>41.282197629531538</v>
      </c>
      <c r="Z66">
        <f t="shared" si="3"/>
        <v>71.665140497690018</v>
      </c>
      <c r="AA66">
        <f t="shared" si="4"/>
        <v>52.327052907010938</v>
      </c>
      <c r="AJ66" s="27">
        <v>41.282197629531538</v>
      </c>
      <c r="AR66" s="27">
        <v>52.327052907010938</v>
      </c>
    </row>
    <row r="67" spans="1:44">
      <c r="A67">
        <v>59</v>
      </c>
      <c r="B67" s="18">
        <f t="shared" si="22"/>
        <v>1.0297442586766543</v>
      </c>
      <c r="C67" s="19">
        <f t="shared" si="23"/>
        <v>42.363703905420181</v>
      </c>
      <c r="D67" s="20">
        <f t="shared" si="24"/>
        <v>42.204437447096353</v>
      </c>
      <c r="E67" s="21">
        <f t="shared" si="25"/>
        <v>42.117714788378379</v>
      </c>
      <c r="F67" s="22">
        <f t="shared" si="26"/>
        <v>41.958997280989252</v>
      </c>
      <c r="G67" s="23">
        <f t="shared" si="27"/>
        <v>41.786254021306547</v>
      </c>
      <c r="H67" s="24">
        <f t="shared" si="28"/>
        <v>41.613929716581595</v>
      </c>
      <c r="I67" s="25">
        <f t="shared" si="29"/>
        <v>41.213459291982019</v>
      </c>
      <c r="K67">
        <v>59</v>
      </c>
      <c r="L67" s="18">
        <f t="shared" si="21"/>
        <v>1.0297442586766543</v>
      </c>
      <c r="M67" s="26">
        <f t="shared" si="30"/>
        <v>57.454444141869686</v>
      </c>
      <c r="N67" s="20">
        <f t="shared" si="31"/>
        <v>57.693343829355456</v>
      </c>
      <c r="O67" s="21">
        <f t="shared" si="32"/>
        <v>57.823427817432446</v>
      </c>
      <c r="P67" s="22">
        <f t="shared" si="33"/>
        <v>58.061504078516151</v>
      </c>
      <c r="Q67" s="23">
        <f t="shared" si="34"/>
        <v>58.320618968040179</v>
      </c>
      <c r="R67" s="24">
        <f t="shared" si="35"/>
        <v>58.579105425127636</v>
      </c>
      <c r="S67" s="25">
        <f t="shared" si="36"/>
        <v>59.179811062026943</v>
      </c>
      <c r="U67" s="7">
        <v>725</v>
      </c>
      <c r="V67" s="1">
        <f t="shared" si="0"/>
        <v>1.3386943857431193</v>
      </c>
      <c r="W67" s="1">
        <f t="shared" si="1"/>
        <v>59.07987578065719</v>
      </c>
      <c r="X67">
        <f t="shared" si="2"/>
        <v>41.257199356616979</v>
      </c>
      <c r="Z67">
        <f t="shared" si="3"/>
        <v>71.65952662775905</v>
      </c>
      <c r="AA67">
        <f t="shared" si="4"/>
        <v>52.372218622301034</v>
      </c>
      <c r="AJ67" s="27">
        <v>41.257199356616979</v>
      </c>
      <c r="AR67" s="27">
        <v>52.372218622301034</v>
      </c>
    </row>
    <row r="68" spans="1:44">
      <c r="A68">
        <v>60</v>
      </c>
      <c r="B68" s="18">
        <f t="shared" si="22"/>
        <v>1.0471975511965976</v>
      </c>
      <c r="C68" s="19">
        <f t="shared" si="23"/>
        <v>42.364833177781549</v>
      </c>
      <c r="D68" s="20">
        <f t="shared" si="24"/>
        <v>42.202724818528594</v>
      </c>
      <c r="E68" s="21">
        <f t="shared" si="25"/>
        <v>42.114456141274445</v>
      </c>
      <c r="F68" s="22">
        <f t="shared" si="26"/>
        <v>41.952911763647563</v>
      </c>
      <c r="G68" s="23">
        <f t="shared" si="27"/>
        <v>41.777095655290594</v>
      </c>
      <c r="H68" s="24">
        <f t="shared" si="28"/>
        <v>41.601709921047728</v>
      </c>
      <c r="I68" s="25">
        <f t="shared" si="29"/>
        <v>41.194140172937921</v>
      </c>
      <c r="K68">
        <v>60</v>
      </c>
      <c r="L68" s="18">
        <f t="shared" si="21"/>
        <v>1.0471975511965976</v>
      </c>
      <c r="M68" s="26">
        <f t="shared" si="30"/>
        <v>56.45275023332772</v>
      </c>
      <c r="N68" s="20">
        <f t="shared" si="31"/>
        <v>56.695912772207123</v>
      </c>
      <c r="O68" s="21">
        <f t="shared" si="32"/>
        <v>56.828315788088304</v>
      </c>
      <c r="P68" s="22">
        <f t="shared" si="33"/>
        <v>57.070632354528698</v>
      </c>
      <c r="Q68" s="23">
        <f t="shared" si="34"/>
        <v>57.334356517064094</v>
      </c>
      <c r="R68" s="24">
        <f t="shared" si="35"/>
        <v>57.59743511842845</v>
      </c>
      <c r="S68" s="25">
        <f t="shared" si="36"/>
        <v>58.208789740593119</v>
      </c>
      <c r="U68" s="7">
        <v>730</v>
      </c>
      <c r="V68" s="1">
        <f t="shared" ref="V68:V80" si="37" xml:space="preserve"> SQRT(1 + 1/SQRT(1.731 - 0.261*(U68/1000)^2))</f>
        <v>1.3388707603800236</v>
      </c>
      <c r="W68" s="1">
        <f t="shared" ref="W68:W80" si="38">ASIN(SQRT((4 - V68^2)/3))*180/PI()</f>
        <v>59.069646451622674</v>
      </c>
      <c r="X68">
        <f t="shared" ref="X68:X80" si="39">4*ASIN(SIN(W68*PI()/180)/V68)*180/PI() - 2*W68</f>
        <v>41.231999998609353</v>
      </c>
      <c r="Z68">
        <f t="shared" ref="Z68:Z80" si="40">ASIN(SQRT((9 - V68^2)/8))*180/PI()</f>
        <v>71.653865327622455</v>
      </c>
      <c r="AA68">
        <f t="shared" ref="AA68:AA80" si="41">180 - 6*ASIN(SIN(Z68*PI()/180)/V68)*180/PI() + 2*Z68</f>
        <v>52.417751011974161</v>
      </c>
      <c r="AJ68" s="27">
        <v>41.231999998609353</v>
      </c>
      <c r="AR68" s="27">
        <v>52.417751011974161</v>
      </c>
    </row>
    <row r="69" spans="1:44">
      <c r="A69">
        <v>61</v>
      </c>
      <c r="B69" s="18">
        <f t="shared" si="22"/>
        <v>1.064650843716541</v>
      </c>
      <c r="C69" s="19">
        <f t="shared" si="23"/>
        <v>42.32078096742444</v>
      </c>
      <c r="D69" s="20">
        <f t="shared" si="24"/>
        <v>42.155853566269485</v>
      </c>
      <c r="E69" s="21">
        <f t="shared" si="25"/>
        <v>42.066051381060703</v>
      </c>
      <c r="F69" s="22">
        <f t="shared" si="26"/>
        <v>41.901703145219528</v>
      </c>
      <c r="G69" s="23">
        <f t="shared" si="27"/>
        <v>41.722839402689999</v>
      </c>
      <c r="H69" s="24">
        <f t="shared" si="28"/>
        <v>41.544417566679329</v>
      </c>
      <c r="I69" s="25">
        <f t="shared" si="29"/>
        <v>41.129808022044415</v>
      </c>
      <c r="K69">
        <v>61</v>
      </c>
      <c r="L69" s="18">
        <f t="shared" si="21"/>
        <v>1.064650843716541</v>
      </c>
      <c r="M69" s="26">
        <f t="shared" si="30"/>
        <v>55.518828548863382</v>
      </c>
      <c r="N69" s="20">
        <f t="shared" si="31"/>
        <v>55.766219650595787</v>
      </c>
      <c r="O69" s="21">
        <f t="shared" si="32"/>
        <v>55.900922928408903</v>
      </c>
      <c r="P69" s="22">
        <f t="shared" si="33"/>
        <v>56.147445282170708</v>
      </c>
      <c r="Q69" s="23">
        <f t="shared" si="34"/>
        <v>56.415740895965001</v>
      </c>
      <c r="R69" s="24">
        <f t="shared" si="35"/>
        <v>56.683373649980979</v>
      </c>
      <c r="S69" s="25">
        <f t="shared" si="36"/>
        <v>57.305287966933378</v>
      </c>
      <c r="U69" s="7">
        <v>735</v>
      </c>
      <c r="V69" s="1">
        <f t="shared" si="37"/>
        <v>1.3390486427869375</v>
      </c>
      <c r="W69" s="1">
        <f t="shared" si="38"/>
        <v>59.059330289033184</v>
      </c>
      <c r="X69">
        <f t="shared" si="39"/>
        <v>41.206598912945736</v>
      </c>
      <c r="Z69">
        <f t="shared" si="40"/>
        <v>71.648156395993524</v>
      </c>
      <c r="AA69">
        <f t="shared" si="41"/>
        <v>52.463651321528317</v>
      </c>
      <c r="AJ69" s="27">
        <v>41.206598912945736</v>
      </c>
      <c r="AR69" s="27">
        <v>52.463651321528317</v>
      </c>
    </row>
    <row r="70" spans="1:44">
      <c r="A70">
        <v>62</v>
      </c>
      <c r="B70" s="18">
        <f t="shared" si="22"/>
        <v>1.0821041362364843</v>
      </c>
      <c r="C70" s="19">
        <f t="shared" si="23"/>
        <v>42.230078187036725</v>
      </c>
      <c r="D70" s="20">
        <f t="shared" si="24"/>
        <v>42.062358317648659</v>
      </c>
      <c r="E70" s="21">
        <f t="shared" si="25"/>
        <v>41.971037155074896</v>
      </c>
      <c r="F70" s="22">
        <f t="shared" si="26"/>
        <v>41.803911765135922</v>
      </c>
      <c r="G70" s="23">
        <f t="shared" si="27"/>
        <v>41.622029614117821</v>
      </c>
      <c r="H70" s="24">
        <f t="shared" si="28"/>
        <v>41.440600998069897</v>
      </c>
      <c r="I70" s="25">
        <f t="shared" si="29"/>
        <v>41.019020436706995</v>
      </c>
      <c r="K70">
        <v>62</v>
      </c>
      <c r="L70" s="18">
        <f t="shared" si="21"/>
        <v>1.0821041362364843</v>
      </c>
      <c r="M70" s="26">
        <f t="shared" si="30"/>
        <v>54.654882719444856</v>
      </c>
      <c r="N70" s="20">
        <f t="shared" si="31"/>
        <v>54.906462523527011</v>
      </c>
      <c r="O70" s="21">
        <f t="shared" si="32"/>
        <v>55.043444267387656</v>
      </c>
      <c r="P70" s="22">
        <f t="shared" si="33"/>
        <v>55.294132352296145</v>
      </c>
      <c r="Q70" s="23">
        <f t="shared" si="34"/>
        <v>55.566955578823297</v>
      </c>
      <c r="R70" s="24">
        <f t="shared" si="35"/>
        <v>55.839098502895183</v>
      </c>
      <c r="S70" s="25">
        <f t="shared" si="36"/>
        <v>56.471469344939493</v>
      </c>
      <c r="U70" s="7">
        <v>740</v>
      </c>
      <c r="V70" s="1">
        <f t="shared" si="37"/>
        <v>1.339228039890854</v>
      </c>
      <c r="W70" s="1">
        <f t="shared" si="38"/>
        <v>59.048926905155668</v>
      </c>
      <c r="X70">
        <f t="shared" si="39"/>
        <v>41.180995450332205</v>
      </c>
      <c r="Z70">
        <f t="shared" si="40"/>
        <v>71.642399629289287</v>
      </c>
      <c r="AA70">
        <f t="shared" si="41"/>
        <v>52.509920809794721</v>
      </c>
      <c r="AJ70" s="27">
        <v>41.180995450332205</v>
      </c>
      <c r="AR70" s="27">
        <v>52.509920809794721</v>
      </c>
    </row>
    <row r="71" spans="1:44">
      <c r="A71">
        <v>63</v>
      </c>
      <c r="B71" s="18">
        <f t="shared" si="22"/>
        <v>1.0995574287564276</v>
      </c>
      <c r="C71" s="19">
        <f t="shared" si="23"/>
        <v>42.091234726456889</v>
      </c>
      <c r="D71" s="20">
        <f t="shared" si="24"/>
        <v>41.920752900532591</v>
      </c>
      <c r="E71" s="21">
        <f t="shared" si="25"/>
        <v>41.827929432243423</v>
      </c>
      <c r="F71" s="22">
        <f t="shared" si="26"/>
        <v>41.6580575048973</v>
      </c>
      <c r="G71" s="23">
        <f t="shared" si="27"/>
        <v>41.473190420665929</v>
      </c>
      <c r="H71" s="24">
        <f t="shared" si="28"/>
        <v>41.288788576513895</v>
      </c>
      <c r="I71" s="25">
        <f t="shared" si="29"/>
        <v>40.860315573841689</v>
      </c>
      <c r="K71">
        <v>63</v>
      </c>
      <c r="L71" s="18">
        <f t="shared" si="21"/>
        <v>1.0995574287564276</v>
      </c>
      <c r="M71" s="26">
        <f t="shared" si="30"/>
        <v>53.863147910314723</v>
      </c>
      <c r="N71" s="20">
        <f t="shared" si="31"/>
        <v>54.118870649201142</v>
      </c>
      <c r="O71" s="21">
        <f t="shared" si="32"/>
        <v>54.258105851634838</v>
      </c>
      <c r="P71" s="22">
        <f t="shared" si="33"/>
        <v>54.512913742654092</v>
      </c>
      <c r="Q71" s="23">
        <f t="shared" si="34"/>
        <v>54.790214369001063</v>
      </c>
      <c r="R71" s="24">
        <f t="shared" si="35"/>
        <v>55.066817135229144</v>
      </c>
      <c r="S71" s="25">
        <f t="shared" si="36"/>
        <v>55.709526639237509</v>
      </c>
      <c r="U71" s="7">
        <v>745</v>
      </c>
      <c r="V71" s="1">
        <f t="shared" si="37"/>
        <v>1.3394089586987137</v>
      </c>
      <c r="W71" s="1">
        <f t="shared" si="38"/>
        <v>59.038435907765496</v>
      </c>
      <c r="X71">
        <f t="shared" si="39"/>
        <v>41.155188954685585</v>
      </c>
      <c r="Z71">
        <f t="shared" si="40"/>
        <v>71.636594821606579</v>
      </c>
      <c r="AA71">
        <f t="shared" si="41"/>
        <v>52.556560749059855</v>
      </c>
      <c r="AJ71" s="27">
        <v>41.155188954685585</v>
      </c>
      <c r="AR71" s="27">
        <v>52.556560749059855</v>
      </c>
    </row>
    <row r="72" spans="1:44">
      <c r="A72">
        <v>64</v>
      </c>
      <c r="B72" s="18">
        <f t="shared" ref="B72:B98" si="42">A72 *PI() / 180</f>
        <v>1.1170107212763709</v>
      </c>
      <c r="C72" s="19">
        <f t="shared" ref="C72:C98" si="43">4*ASIN(SIN(A72*PI()/180)/$C$4)*180/PI() - 2*A72</f>
        <v>41.902742038292729</v>
      </c>
      <c r="D72" s="20">
        <f t="shared" ref="D72:D98" si="44">4*ASIN(SIN(A72*PI()/180)/$D$4)*180/PI() - 2*A72</f>
        <v>41.729532927172386</v>
      </c>
      <c r="E72" s="21">
        <f t="shared" ref="E72:E98" si="45">4*ASIN(SIN(A72*PI()/180)/$E$4)*180/PI() - 2*A72</f>
        <v>41.635226085930782</v>
      </c>
      <c r="F72" s="22">
        <f t="shared" ref="F72:F98" si="46">4*ASIN(SIN(A72*PI()/180)/$F$4)*180/PI() - 2*A72</f>
        <v>41.46264236903653</v>
      </c>
      <c r="G72" s="23">
        <f t="shared" ref="G72:G98" si="47">4*ASIN(SIN(A72*PI()/180)/$G$4)*180/PI() - 2*A72</f>
        <v>41.274828312723855</v>
      </c>
      <c r="H72" s="24">
        <f t="shared" ref="H72:H98" si="48">4*ASIN(SIN(A72*PI()/180)/$H$4)*180/PI() - 2*A72</f>
        <v>41.087491256597218</v>
      </c>
      <c r="I72" s="25">
        <f t="shared" ref="I72:I98" si="49">4*ASIN(SIN(A72*PI()/180)/$I$4)*180/PI() - 2*A72</f>
        <v>40.652214720943135</v>
      </c>
      <c r="K72">
        <v>64</v>
      </c>
      <c r="L72" s="18">
        <f t="shared" si="21"/>
        <v>1.1170107212763709</v>
      </c>
      <c r="M72" s="26">
        <f t="shared" ref="M72:M98" si="50">180 - 6*ASIN(SIN(A72*PI()/180)/$M$4)*180/PI() + 2*A72</f>
        <v>53.145886942560935</v>
      </c>
      <c r="N72" s="20">
        <f t="shared" ref="N72:N98" si="51">180 - 6*ASIN(SIN(A72*PI()/180)/$N$4)*180/PI() + 2*A72</f>
        <v>53.405700609241393</v>
      </c>
      <c r="O72" s="21">
        <f t="shared" ref="O72:O98" si="52">180 - 6*ASIN(SIN(A72*PI()/180)/$O$4)*180/PI() + 2*A72</f>
        <v>53.547160871103841</v>
      </c>
      <c r="P72" s="22">
        <f t="shared" ref="P72:P98" si="53">180 - 6*ASIN(SIN(A72*PI()/180)/$P$4)*180/PI() + 2*A72</f>
        <v>53.806036446445233</v>
      </c>
      <c r="Q72" s="23">
        <f t="shared" ref="Q72:Q98" si="54">180 - 6*ASIN(SIN(A72*PI()/180)/$Q$4)*180/PI() + 2*A72</f>
        <v>54.087757530914189</v>
      </c>
      <c r="R72" s="24">
        <f t="shared" ref="R72:R98" si="55">180 - 6*ASIN(SIN(A72*PI()/180)/$R$4)*180/PI() + 2*A72</f>
        <v>54.368763115104173</v>
      </c>
      <c r="S72" s="25">
        <f t="shared" ref="S72:S98" si="56">180 - 6*ASIN(SIN(A72*PI()/180)/$S$4)*180/PI() + 2*A72</f>
        <v>55.021677918585311</v>
      </c>
      <c r="U72" s="7">
        <v>750</v>
      </c>
      <c r="V72" s="1">
        <f t="shared" si="37"/>
        <v>1.3395914062982586</v>
      </c>
      <c r="W72" s="1">
        <f t="shared" si="38"/>
        <v>59.027856900098008</v>
      </c>
      <c r="X72">
        <f t="shared" si="39"/>
        <v>41.129178763074052</v>
      </c>
      <c r="Z72">
        <f t="shared" si="40"/>
        <v>71.630741764697817</v>
      </c>
      <c r="AA72">
        <f t="shared" si="41"/>
        <v>52.603572425188219</v>
      </c>
      <c r="AJ72" s="27">
        <v>41.129178763074052</v>
      </c>
      <c r="AR72" s="27">
        <v>52.603572425188219</v>
      </c>
    </row>
    <row r="73" spans="1:44">
      <c r="A73">
        <v>65</v>
      </c>
      <c r="B73" s="18">
        <f t="shared" si="42"/>
        <v>1.1344640137963142</v>
      </c>
      <c r="C73" s="19">
        <f t="shared" si="43"/>
        <v>41.663076072217592</v>
      </c>
      <c r="D73" s="20">
        <f t="shared" si="44"/>
        <v>41.487178724536847</v>
      </c>
      <c r="E73" s="21">
        <f t="shared" si="45"/>
        <v>41.391409822084881</v>
      </c>
      <c r="F73" s="22">
        <f t="shared" si="46"/>
        <v>41.216153409206214</v>
      </c>
      <c r="G73" s="23">
        <f t="shared" si="47"/>
        <v>41.02543505957226</v>
      </c>
      <c r="H73" s="24">
        <f t="shared" si="48"/>
        <v>40.83520550122725</v>
      </c>
      <c r="I73" s="25">
        <f t="shared" si="49"/>
        <v>40.393225200211674</v>
      </c>
      <c r="K73">
        <v>65</v>
      </c>
      <c r="L73" s="18">
        <f t="shared" si="21"/>
        <v>1.1344640137963142</v>
      </c>
      <c r="M73" s="26">
        <f t="shared" si="50"/>
        <v>52.505385891673598</v>
      </c>
      <c r="N73" s="20">
        <f t="shared" si="51"/>
        <v>52.769231913194687</v>
      </c>
      <c r="O73" s="21">
        <f t="shared" si="52"/>
        <v>52.912885266872649</v>
      </c>
      <c r="P73" s="22">
        <f t="shared" si="53"/>
        <v>53.175769886190722</v>
      </c>
      <c r="Q73" s="23">
        <f t="shared" si="54"/>
        <v>53.46184741064161</v>
      </c>
      <c r="R73" s="24">
        <f t="shared" si="55"/>
        <v>53.747191748159082</v>
      </c>
      <c r="S73" s="25">
        <f t="shared" si="56"/>
        <v>54.410162199682503</v>
      </c>
      <c r="U73" s="7">
        <v>755</v>
      </c>
      <c r="V73" s="1">
        <f t="shared" si="37"/>
        <v>1.3397753898588982</v>
      </c>
      <c r="W73" s="1">
        <f t="shared" si="38"/>
        <v>59.01718948079921</v>
      </c>
      <c r="X73">
        <f t="shared" si="39"/>
        <v>41.102964205657727</v>
      </c>
      <c r="Z73">
        <f t="shared" si="40"/>
        <v>71.624840247946295</v>
      </c>
      <c r="AA73">
        <f t="shared" si="41"/>
        <v>52.65095713774727</v>
      </c>
      <c r="AJ73" s="27">
        <v>41.102964205657727</v>
      </c>
      <c r="AR73" s="27">
        <v>52.65095713774727</v>
      </c>
    </row>
    <row r="74" spans="1:44">
      <c r="A74">
        <v>66</v>
      </c>
      <c r="B74" s="18">
        <f t="shared" si="42"/>
        <v>1.1519173063162575</v>
      </c>
      <c r="C74" s="19">
        <f t="shared" si="43"/>
        <v>41.370700570795719</v>
      </c>
      <c r="D74" s="20">
        <f t="shared" si="44"/>
        <v>41.19215862373909</v>
      </c>
      <c r="E74" s="21">
        <f t="shared" si="45"/>
        <v>41.094951465155248</v>
      </c>
      <c r="F74" s="22">
        <f t="shared" si="46"/>
        <v>40.917066003630651</v>
      </c>
      <c r="G74" s="23">
        <f t="shared" si="47"/>
        <v>40.723490981733676</v>
      </c>
      <c r="H74" s="24">
        <f t="shared" si="48"/>
        <v>40.530416546835085</v>
      </c>
      <c r="I74" s="25">
        <f t="shared" si="49"/>
        <v>40.081843616897572</v>
      </c>
      <c r="K74">
        <v>66</v>
      </c>
      <c r="L74" s="18">
        <f t="shared" si="21"/>
        <v>1.1519173063162575</v>
      </c>
      <c r="M74" s="26">
        <f t="shared" si="50"/>
        <v>51.943949143806435</v>
      </c>
      <c r="N74" s="20">
        <f t="shared" si="51"/>
        <v>52.211762064391337</v>
      </c>
      <c r="O74" s="21">
        <f t="shared" si="52"/>
        <v>52.3575728022671</v>
      </c>
      <c r="P74" s="22">
        <f t="shared" si="53"/>
        <v>52.62440099455398</v>
      </c>
      <c r="Q74" s="23">
        <f t="shared" si="54"/>
        <v>52.914763527399487</v>
      </c>
      <c r="R74" s="24">
        <f t="shared" si="55"/>
        <v>53.204375179747387</v>
      </c>
      <c r="S74" s="25">
        <f t="shared" si="56"/>
        <v>53.877234574653642</v>
      </c>
      <c r="U74" s="7">
        <v>760</v>
      </c>
      <c r="V74" s="1">
        <f t="shared" si="37"/>
        <v>1.3399609166325919</v>
      </c>
      <c r="W74" s="1">
        <f t="shared" si="38"/>
        <v>59.006433243875861</v>
      </c>
      <c r="X74">
        <f t="shared" si="39"/>
        <v>41.076544605627788</v>
      </c>
      <c r="Z74">
        <f t="shared" si="40"/>
        <v>71.618890058341421</v>
      </c>
      <c r="AA74">
        <f t="shared" si="41"/>
        <v>52.698716200134442</v>
      </c>
      <c r="AJ74" s="27">
        <v>41.076544605627788</v>
      </c>
      <c r="AR74" s="27">
        <v>52.698716200134442</v>
      </c>
    </row>
    <row r="75" spans="1:44">
      <c r="A75">
        <v>67</v>
      </c>
      <c r="B75" s="18">
        <f t="shared" si="42"/>
        <v>1.1693705988362006</v>
      </c>
      <c r="C75" s="19">
        <f t="shared" si="43"/>
        <v>41.024070736609048</v>
      </c>
      <c r="D75" s="20">
        <f t="shared" si="44"/>
        <v>40.842932618093954</v>
      </c>
      <c r="E75" s="21">
        <f t="shared" si="45"/>
        <v>40.744313611193206</v>
      </c>
      <c r="F75" s="22">
        <f t="shared" si="46"/>
        <v>40.563847501102856</v>
      </c>
      <c r="G75" s="23">
        <f t="shared" si="47"/>
        <v>40.367468585014166</v>
      </c>
      <c r="H75" s="24">
        <f t="shared" si="48"/>
        <v>40.171602027438496</v>
      </c>
      <c r="I75" s="25">
        <f t="shared" si="49"/>
        <v>39.716559459999786</v>
      </c>
      <c r="K75">
        <v>67</v>
      </c>
      <c r="L75" s="18">
        <f t="shared" si="21"/>
        <v>1.1693705988362006</v>
      </c>
      <c r="M75" s="26">
        <f t="shared" si="50"/>
        <v>51.463893895086358</v>
      </c>
      <c r="N75" s="20">
        <f t="shared" si="51"/>
        <v>51.735601072859026</v>
      </c>
      <c r="O75" s="21">
        <f t="shared" si="52"/>
        <v>51.883529583210247</v>
      </c>
      <c r="P75" s="22">
        <f t="shared" si="53"/>
        <v>52.154228748345702</v>
      </c>
      <c r="Q75" s="23">
        <f t="shared" si="54"/>
        <v>52.448797122478709</v>
      </c>
      <c r="R75" s="24">
        <f t="shared" si="55"/>
        <v>52.742596958842228</v>
      </c>
      <c r="S75" s="25">
        <f t="shared" si="56"/>
        <v>53.425160810000307</v>
      </c>
      <c r="U75" s="7">
        <v>765</v>
      </c>
      <c r="V75" s="1">
        <f t="shared" si="37"/>
        <v>1.3401479939547434</v>
      </c>
      <c r="W75" s="1">
        <f t="shared" si="38"/>
        <v>58.99558777864447</v>
      </c>
      <c r="X75">
        <f t="shared" si="39"/>
        <v>41.049919279144987</v>
      </c>
      <c r="Z75">
        <f t="shared" si="40"/>
        <v>71.612890980452946</v>
      </c>
      <c r="AA75">
        <f t="shared" si="41"/>
        <v>52.746850939705979</v>
      </c>
      <c r="AJ75" s="27">
        <v>41.049919279144987</v>
      </c>
      <c r="AR75" s="27">
        <v>52.746850939705979</v>
      </c>
    </row>
    <row r="76" spans="1:44">
      <c r="A76">
        <v>68</v>
      </c>
      <c r="B76" s="18">
        <f t="shared" si="42"/>
        <v>1.1868238913561442</v>
      </c>
      <c r="C76" s="19">
        <f t="shared" si="43"/>
        <v>40.621637276725096</v>
      </c>
      <c r="D76" s="20">
        <f t="shared" si="44"/>
        <v>40.437956395624639</v>
      </c>
      <c r="E76" s="21">
        <f t="shared" si="45"/>
        <v>40.337954653835482</v>
      </c>
      <c r="F76" s="22">
        <f t="shared" si="46"/>
        <v>40.154961235009921</v>
      </c>
      <c r="G76" s="23">
        <f t="shared" si="47"/>
        <v>39.955836561488809</v>
      </c>
      <c r="H76" s="24">
        <f t="shared" si="48"/>
        <v>39.757235962593313</v>
      </c>
      <c r="I76" s="25">
        <f t="shared" si="49"/>
        <v>39.295859059833333</v>
      </c>
      <c r="K76">
        <v>68</v>
      </c>
      <c r="L76" s="18">
        <f t="shared" ref="L76:L98" si="57">K76 *PI() / 180</f>
        <v>1.1868238913561442</v>
      </c>
      <c r="M76" s="26">
        <f t="shared" si="50"/>
        <v>51.067544084912413</v>
      </c>
      <c r="N76" s="20">
        <f t="shared" si="51"/>
        <v>51.343065406563028</v>
      </c>
      <c r="O76" s="21">
        <f t="shared" si="52"/>
        <v>51.493068019246778</v>
      </c>
      <c r="P76" s="22">
        <f t="shared" si="53"/>
        <v>51.767558147485147</v>
      </c>
      <c r="Q76" s="23">
        <f t="shared" si="54"/>
        <v>52.066245157766787</v>
      </c>
      <c r="R76" s="24">
        <f t="shared" si="55"/>
        <v>52.36414605611003</v>
      </c>
      <c r="S76" s="25">
        <f t="shared" si="56"/>
        <v>53.056211410250057</v>
      </c>
      <c r="U76" s="7">
        <v>770</v>
      </c>
      <c r="V76" s="1">
        <f t="shared" si="37"/>
        <v>1.3403366292451098</v>
      </c>
      <c r="W76" s="1">
        <f t="shared" si="38"/>
        <v>58.984652669679853</v>
      </c>
      <c r="X76">
        <f t="shared" si="39"/>
        <v>41.023087535276986</v>
      </c>
      <c r="Z76">
        <f t="shared" si="40"/>
        <v>71.606842796405459</v>
      </c>
      <c r="AA76">
        <f t="shared" si="41"/>
        <v>52.795362697907251</v>
      </c>
      <c r="AJ76" s="27">
        <v>41.023087535276986</v>
      </c>
      <c r="AR76" s="27">
        <v>52.795362697907251</v>
      </c>
    </row>
    <row r="77" spans="1:44">
      <c r="A77">
        <v>69</v>
      </c>
      <c r="B77" s="18">
        <f t="shared" si="42"/>
        <v>1.2042771838760873</v>
      </c>
      <c r="C77" s="19">
        <f t="shared" si="43"/>
        <v>40.16185082613265</v>
      </c>
      <c r="D77" s="20">
        <f t="shared" si="44"/>
        <v>39.975685747447073</v>
      </c>
      <c r="E77" s="21">
        <f t="shared" si="45"/>
        <v>39.874333184491746</v>
      </c>
      <c r="F77" s="22">
        <f t="shared" si="46"/>
        <v>39.688870908517316</v>
      </c>
      <c r="G77" s="23">
        <f t="shared" si="47"/>
        <v>39.487064158355082</v>
      </c>
      <c r="H77" s="24">
        <f t="shared" si="48"/>
        <v>39.285793109954255</v>
      </c>
      <c r="I77" s="25">
        <f t="shared" si="49"/>
        <v>38.818229902731161</v>
      </c>
      <c r="K77">
        <v>69</v>
      </c>
      <c r="L77" s="18">
        <f t="shared" si="57"/>
        <v>1.2042771838760873</v>
      </c>
      <c r="M77" s="26">
        <f t="shared" si="50"/>
        <v>50.757223760801082</v>
      </c>
      <c r="N77" s="20">
        <f t="shared" si="51"/>
        <v>51.03647137882939</v>
      </c>
      <c r="O77" s="21">
        <f t="shared" si="52"/>
        <v>51.188500223262338</v>
      </c>
      <c r="P77" s="22">
        <f t="shared" si="53"/>
        <v>51.466693637224012</v>
      </c>
      <c r="Q77" s="23">
        <f t="shared" si="54"/>
        <v>51.769403762467448</v>
      </c>
      <c r="R77" s="24">
        <f t="shared" si="55"/>
        <v>52.071310335068631</v>
      </c>
      <c r="S77" s="25">
        <f t="shared" si="56"/>
        <v>52.772655145903286</v>
      </c>
      <c r="U77" s="7">
        <v>775</v>
      </c>
      <c r="V77" s="1">
        <f t="shared" si="37"/>
        <v>1.3405268300087247</v>
      </c>
      <c r="W77" s="1">
        <f t="shared" si="38"/>
        <v>58.973627496762546</v>
      </c>
      <c r="X77">
        <f t="shared" si="39"/>
        <v>40.996048675935356</v>
      </c>
      <c r="Z77">
        <f t="shared" si="40"/>
        <v>71.600745285852085</v>
      </c>
      <c r="AA77">
        <f t="shared" si="41"/>
        <v>52.844252830405111</v>
      </c>
      <c r="AJ77" s="27">
        <v>40.996048675935356</v>
      </c>
      <c r="AR77" s="27">
        <v>52.844252830405111</v>
      </c>
    </row>
    <row r="78" spans="1:44">
      <c r="A78">
        <v>70</v>
      </c>
      <c r="B78" s="18">
        <f t="shared" si="42"/>
        <v>1.2217304763960306</v>
      </c>
      <c r="C78" s="19">
        <f t="shared" si="43"/>
        <v>39.643166746678844</v>
      </c>
      <c r="D78" s="20">
        <f t="shared" si="44"/>
        <v>39.454581348399614</v>
      </c>
      <c r="E78" s="21">
        <f t="shared" si="45"/>
        <v>39.35191276301461</v>
      </c>
      <c r="F78" s="22">
        <f t="shared" si="46"/>
        <v>39.164045347029457</v>
      </c>
      <c r="G78" s="23">
        <f t="shared" si="47"/>
        <v>38.95962591060001</v>
      </c>
      <c r="H78" s="24">
        <f t="shared" si="48"/>
        <v>38.755753678225659</v>
      </c>
      <c r="I78" s="25">
        <f t="shared" si="49"/>
        <v>38.282165298285349</v>
      </c>
      <c r="K78">
        <v>70</v>
      </c>
      <c r="L78" s="18">
        <f t="shared" si="57"/>
        <v>1.2217304763960306</v>
      </c>
      <c r="M78" s="26">
        <f t="shared" si="50"/>
        <v>50.535249879981734</v>
      </c>
      <c r="N78" s="20">
        <f t="shared" si="51"/>
        <v>50.818127977400593</v>
      </c>
      <c r="O78" s="21">
        <f t="shared" si="52"/>
        <v>50.972130855478099</v>
      </c>
      <c r="P78" s="22">
        <f t="shared" si="53"/>
        <v>51.253931979455842</v>
      </c>
      <c r="Q78" s="23">
        <f t="shared" si="54"/>
        <v>51.560561134099999</v>
      </c>
      <c r="R78" s="24">
        <f t="shared" si="55"/>
        <v>51.866369482661526</v>
      </c>
      <c r="S78" s="25">
        <f t="shared" si="56"/>
        <v>52.576752052571919</v>
      </c>
      <c r="U78" s="7">
        <v>780</v>
      </c>
      <c r="V78" s="1">
        <f t="shared" si="37"/>
        <v>1.3407186038368368</v>
      </c>
      <c r="W78" s="1">
        <f t="shared" si="38"/>
        <v>58.962511834825584</v>
      </c>
      <c r="X78">
        <f t="shared" si="39"/>
        <v>40.96880199581112</v>
      </c>
      <c r="Z78">
        <f t="shared" si="40"/>
        <v>71.594598225947919</v>
      </c>
      <c r="AA78">
        <f t="shared" si="41"/>
        <v>52.893522707222587</v>
      </c>
      <c r="AJ78" s="27">
        <v>40.96880199581112</v>
      </c>
      <c r="AR78" s="27">
        <v>52.893522707222587</v>
      </c>
    </row>
    <row r="79" spans="1:44">
      <c r="A79">
        <v>71</v>
      </c>
      <c r="B79" s="18">
        <f t="shared" si="42"/>
        <v>1.2391837689159739</v>
      </c>
      <c r="C79" s="19">
        <f t="shared" si="43"/>
        <v>39.064050292280797</v>
      </c>
      <c r="D79" s="20">
        <f t="shared" si="44"/>
        <v>38.87311390056729</v>
      </c>
      <c r="E79" s="21">
        <f t="shared" si="45"/>
        <v>38.76916704943622</v>
      </c>
      <c r="F79" s="22">
        <f t="shared" si="46"/>
        <v>38.578963608389728</v>
      </c>
      <c r="G79" s="23">
        <f t="shared" si="47"/>
        <v>38.372006727818075</v>
      </c>
      <c r="H79" s="24">
        <f t="shared" si="48"/>
        <v>38.165608390713146</v>
      </c>
      <c r="I79" s="25">
        <f t="shared" si="49"/>
        <v>37.68616938906456</v>
      </c>
      <c r="K79">
        <v>71</v>
      </c>
      <c r="L79" s="18">
        <f t="shared" si="57"/>
        <v>1.2391837689159739</v>
      </c>
      <c r="M79" s="26">
        <f t="shared" si="50"/>
        <v>50.403924561578833</v>
      </c>
      <c r="N79" s="20">
        <f t="shared" si="51"/>
        <v>50.690329149149079</v>
      </c>
      <c r="O79" s="21">
        <f t="shared" si="52"/>
        <v>50.846249425845713</v>
      </c>
      <c r="P79" s="22">
        <f t="shared" si="53"/>
        <v>51.131554587415394</v>
      </c>
      <c r="Q79" s="23">
        <f t="shared" si="54"/>
        <v>51.441989908272888</v>
      </c>
      <c r="R79" s="24">
        <f t="shared" si="55"/>
        <v>51.751587413930338</v>
      </c>
      <c r="S79" s="25">
        <f t="shared" si="56"/>
        <v>52.470745916403132</v>
      </c>
      <c r="U79" s="7">
        <v>785</v>
      </c>
      <c r="V79" s="1">
        <f t="shared" si="37"/>
        <v>1.3409119584078621</v>
      </c>
      <c r="W79" s="1">
        <f t="shared" si="38"/>
        <v>58.95130525390023</v>
      </c>
      <c r="X79">
        <f t="shared" si="39"/>
        <v>40.941346782310148</v>
      </c>
      <c r="Z79">
        <f t="shared" si="40"/>
        <v>71.588401391322876</v>
      </c>
      <c r="AA79">
        <f t="shared" si="41"/>
        <v>52.943173712874938</v>
      </c>
      <c r="AJ79" s="27">
        <v>40.941346782310148</v>
      </c>
      <c r="AR79" s="27">
        <v>52.943173712874938</v>
      </c>
    </row>
    <row r="80" spans="1:44">
      <c r="A80">
        <v>72</v>
      </c>
      <c r="B80" s="18">
        <f t="shared" si="42"/>
        <v>1.2566370614359172</v>
      </c>
      <c r="C80" s="19">
        <f t="shared" si="43"/>
        <v>38.422982124808527</v>
      </c>
      <c r="D80" s="20">
        <f t="shared" si="44"/>
        <v>38.229769624023191</v>
      </c>
      <c r="E80" s="21">
        <f t="shared" si="45"/>
        <v>38.124585281052589</v>
      </c>
      <c r="F80" s="22">
        <f t="shared" si="46"/>
        <v>37.932120435033312</v>
      </c>
      <c r="G80" s="23">
        <f t="shared" si="47"/>
        <v>37.722707319320733</v>
      </c>
      <c r="H80" s="24">
        <f t="shared" si="48"/>
        <v>37.513863883549533</v>
      </c>
      <c r="I80" s="25">
        <f t="shared" si="49"/>
        <v>37.028762486732603</v>
      </c>
      <c r="K80">
        <v>72</v>
      </c>
      <c r="L80" s="18">
        <f t="shared" si="57"/>
        <v>1.2566370614359172</v>
      </c>
      <c r="M80" s="26">
        <f t="shared" si="50"/>
        <v>50.365526812787152</v>
      </c>
      <c r="N80" s="20">
        <f t="shared" si="51"/>
        <v>50.655345563965227</v>
      </c>
      <c r="O80" s="21">
        <f t="shared" si="52"/>
        <v>50.813122078421145</v>
      </c>
      <c r="P80" s="22">
        <f t="shared" si="53"/>
        <v>51.101819347450032</v>
      </c>
      <c r="Q80" s="23">
        <f t="shared" si="54"/>
        <v>51.415939021018914</v>
      </c>
      <c r="R80" s="24">
        <f t="shared" si="55"/>
        <v>51.729204174675715</v>
      </c>
      <c r="S80" s="25">
        <f t="shared" si="56"/>
        <v>52.456856269901039</v>
      </c>
      <c r="U80" s="7">
        <v>790</v>
      </c>
      <c r="V80" s="1">
        <f t="shared" si="37"/>
        <v>1.3411069014883532</v>
      </c>
      <c r="W80" s="1">
        <f t="shared" si="38"/>
        <v>58.940007319060918</v>
      </c>
      <c r="X80">
        <f t="shared" si="39"/>
        <v>40.91368231548627</v>
      </c>
      <c r="Z80">
        <f t="shared" si="40"/>
        <v>71.582154554054299</v>
      </c>
      <c r="AA80">
        <f t="shared" si="41"/>
        <v>52.993207246508831</v>
      </c>
      <c r="AJ80" s="27">
        <v>40.91368231548627</v>
      </c>
      <c r="AR80" s="27">
        <v>52.993207246508831</v>
      </c>
    </row>
    <row r="81" spans="1:19">
      <c r="A81">
        <v>73</v>
      </c>
      <c r="B81" s="18">
        <f t="shared" si="42"/>
        <v>1.2740903539558606</v>
      </c>
      <c r="C81" s="19">
        <f t="shared" si="43"/>
        <v>37.718464158103245</v>
      </c>
      <c r="D81" s="20">
        <f t="shared" si="44"/>
        <v>37.523056072237807</v>
      </c>
      <c r="E81" s="21">
        <f t="shared" si="45"/>
        <v>37.416678072303711</v>
      </c>
      <c r="F81" s="22">
        <f t="shared" si="46"/>
        <v>37.222032025531576</v>
      </c>
      <c r="G81" s="23">
        <f t="shared" si="47"/>
        <v>37.010249934968044</v>
      </c>
      <c r="H81" s="24">
        <f t="shared" si="48"/>
        <v>36.799048416022003</v>
      </c>
      <c r="I81" s="25">
        <f t="shared" si="49"/>
        <v>36.308486711992572</v>
      </c>
      <c r="K81">
        <v>73</v>
      </c>
      <c r="L81" s="18">
        <f t="shared" si="57"/>
        <v>1.2740903539558606</v>
      </c>
      <c r="M81" s="26">
        <f t="shared" si="50"/>
        <v>50.422303762845104</v>
      </c>
      <c r="N81" s="20">
        <f t="shared" si="51"/>
        <v>50.715415891643261</v>
      </c>
      <c r="O81" s="21">
        <f t="shared" si="52"/>
        <v>50.874982891544448</v>
      </c>
      <c r="P81" s="22">
        <f t="shared" si="53"/>
        <v>51.166951961702694</v>
      </c>
      <c r="Q81" s="23">
        <f t="shared" si="54"/>
        <v>51.484625097548019</v>
      </c>
      <c r="R81" s="24">
        <f t="shared" si="55"/>
        <v>51.801427375966966</v>
      </c>
      <c r="S81" s="25">
        <f t="shared" si="56"/>
        <v>52.537269932011156</v>
      </c>
    </row>
    <row r="82" spans="1:19">
      <c r="A82">
        <v>74</v>
      </c>
      <c r="B82" s="18">
        <f t="shared" si="42"/>
        <v>1.2915436464758039</v>
      </c>
      <c r="C82" s="19">
        <f t="shared" si="43"/>
        <v>36.949025700215657</v>
      </c>
      <c r="D82" s="20">
        <f t="shared" si="44"/>
        <v>36.751508242302549</v>
      </c>
      <c r="E82" s="21">
        <f t="shared" si="45"/>
        <v>36.64398350762562</v>
      </c>
      <c r="F82" s="22">
        <f t="shared" si="46"/>
        <v>36.447242095765091</v>
      </c>
      <c r="G82" s="23">
        <f t="shared" si="47"/>
        <v>36.233184392029358</v>
      </c>
      <c r="H82" s="24">
        <f t="shared" si="48"/>
        <v>36.01971786337424</v>
      </c>
      <c r="I82" s="25">
        <f t="shared" si="49"/>
        <v>35.523911908900971</v>
      </c>
      <c r="K82">
        <v>74</v>
      </c>
      <c r="L82" s="18">
        <f t="shared" si="57"/>
        <v>1.2915436464758039</v>
      </c>
      <c r="M82" s="26">
        <f t="shared" si="50"/>
        <v>50.576461449676572</v>
      </c>
      <c r="N82" s="20">
        <f t="shared" si="51"/>
        <v>50.872737636546219</v>
      </c>
      <c r="O82" s="21">
        <f t="shared" si="52"/>
        <v>51.034024738561527</v>
      </c>
      <c r="P82" s="22">
        <f t="shared" si="53"/>
        <v>51.329136856352363</v>
      </c>
      <c r="Q82" s="23">
        <f t="shared" si="54"/>
        <v>51.650223411955949</v>
      </c>
      <c r="R82" s="24">
        <f t="shared" si="55"/>
        <v>51.970423204938641</v>
      </c>
      <c r="S82" s="25">
        <f t="shared" si="56"/>
        <v>52.714132136648516</v>
      </c>
    </row>
    <row r="83" spans="1:19">
      <c r="A83">
        <v>75</v>
      </c>
      <c r="B83" s="18">
        <f t="shared" si="42"/>
        <v>1.3089969389957472</v>
      </c>
      <c r="C83" s="19">
        <f t="shared" si="43"/>
        <v>36.113229856260261</v>
      </c>
      <c r="D83" s="20">
        <f t="shared" si="44"/>
        <v>35.913694942497131</v>
      </c>
      <c r="E83" s="21">
        <f t="shared" si="45"/>
        <v>35.805073489881238</v>
      </c>
      <c r="F83" s="22">
        <f t="shared" si="46"/>
        <v>35.606328192471381</v>
      </c>
      <c r="G83" s="23">
        <f t="shared" si="47"/>
        <v>35.39009435096969</v>
      </c>
      <c r="H83" s="24">
        <f t="shared" si="48"/>
        <v>35.174461955135428</v>
      </c>
      <c r="I83" s="25">
        <f t="shared" si="49"/>
        <v>34.673641796959743</v>
      </c>
      <c r="K83">
        <v>75</v>
      </c>
      <c r="L83" s="18">
        <f t="shared" si="57"/>
        <v>1.3089969389957472</v>
      </c>
      <c r="M83" s="26">
        <f t="shared" si="50"/>
        <v>50.830155215609636</v>
      </c>
      <c r="N83" s="20">
        <f t="shared" si="51"/>
        <v>51.129457586254375</v>
      </c>
      <c r="O83" s="21">
        <f t="shared" si="52"/>
        <v>51.292389765178143</v>
      </c>
      <c r="P83" s="22">
        <f t="shared" si="53"/>
        <v>51.590507711292901</v>
      </c>
      <c r="Q83" s="23">
        <f t="shared" si="54"/>
        <v>51.914858473545507</v>
      </c>
      <c r="R83" s="24">
        <f t="shared" si="55"/>
        <v>52.238307067296887</v>
      </c>
      <c r="S83" s="25">
        <f t="shared" si="56"/>
        <v>52.989537304560429</v>
      </c>
    </row>
    <row r="84" spans="1:19">
      <c r="A84">
        <v>76</v>
      </c>
      <c r="B84" s="18">
        <f t="shared" si="42"/>
        <v>1.3264502315156903</v>
      </c>
      <c r="C84" s="19">
        <f t="shared" si="43"/>
        <v>35.209680146441769</v>
      </c>
      <c r="D84" s="20">
        <f t="shared" si="44"/>
        <v>35.008225371984906</v>
      </c>
      <c r="E84" s="21">
        <f t="shared" si="45"/>
        <v>34.898560299275147</v>
      </c>
      <c r="F84" s="22">
        <f t="shared" si="46"/>
        <v>34.697908214294159</v>
      </c>
      <c r="G84" s="23">
        <f t="shared" si="47"/>
        <v>34.479603795532427</v>
      </c>
      <c r="H84" s="24">
        <f t="shared" si="48"/>
        <v>34.261910714587884</v>
      </c>
      <c r="I84" s="25">
        <f t="shared" si="49"/>
        <v>33.756320317161794</v>
      </c>
      <c r="K84">
        <v>76</v>
      </c>
      <c r="L84" s="18">
        <f t="shared" si="57"/>
        <v>1.3264502315156903</v>
      </c>
      <c r="M84" s="26">
        <f t="shared" si="50"/>
        <v>51.185479780337346</v>
      </c>
      <c r="N84" s="20">
        <f t="shared" si="51"/>
        <v>51.487661942022669</v>
      </c>
      <c r="O84" s="21">
        <f t="shared" si="52"/>
        <v>51.652159551087266</v>
      </c>
      <c r="P84" s="22">
        <f t="shared" si="53"/>
        <v>51.953137678558733</v>
      </c>
      <c r="Q84" s="23">
        <f t="shared" si="54"/>
        <v>52.280594306701403</v>
      </c>
      <c r="R84" s="24">
        <f t="shared" si="55"/>
        <v>52.607133928118174</v>
      </c>
      <c r="S84" s="25">
        <f t="shared" si="56"/>
        <v>53.365519524257309</v>
      </c>
    </row>
    <row r="85" spans="1:19">
      <c r="A85">
        <v>77</v>
      </c>
      <c r="B85" s="18">
        <f t="shared" si="42"/>
        <v>1.3439035240356338</v>
      </c>
      <c r="C85" s="19">
        <f t="shared" si="43"/>
        <v>34.23702728602953</v>
      </c>
      <c r="D85" s="20">
        <f t="shared" si="44"/>
        <v>34.03375585972438</v>
      </c>
      <c r="E85" s="21">
        <f t="shared" si="45"/>
        <v>33.923103310012749</v>
      </c>
      <c r="F85" s="22">
        <f t="shared" si="46"/>
        <v>33.720647087910123</v>
      </c>
      <c r="G85" s="23">
        <f t="shared" si="47"/>
        <v>33.500383665033326</v>
      </c>
      <c r="H85" s="24">
        <f t="shared" si="48"/>
        <v>33.280741047626066</v>
      </c>
      <c r="I85" s="25">
        <f t="shared" si="49"/>
        <v>32.770638121023154</v>
      </c>
      <c r="K85">
        <v>77</v>
      </c>
      <c r="L85" s="18">
        <f t="shared" si="57"/>
        <v>1.3439035240356338</v>
      </c>
      <c r="M85" s="26">
        <f t="shared" si="50"/>
        <v>51.644459070955691</v>
      </c>
      <c r="N85" s="20">
        <f t="shared" si="51"/>
        <v>51.949366210413416</v>
      </c>
      <c r="O85" s="21">
        <f t="shared" si="52"/>
        <v>52.115345034980919</v>
      </c>
      <c r="P85" s="22">
        <f t="shared" si="53"/>
        <v>52.419029368134829</v>
      </c>
      <c r="Q85" s="23">
        <f t="shared" si="54"/>
        <v>52.749424502449983</v>
      </c>
      <c r="R85" s="24">
        <f t="shared" si="55"/>
        <v>53.078888428560902</v>
      </c>
      <c r="S85" s="25">
        <f t="shared" si="56"/>
        <v>53.844042818465255</v>
      </c>
    </row>
    <row r="86" spans="1:19">
      <c r="A86">
        <v>78</v>
      </c>
      <c r="B86" s="18">
        <f t="shared" si="42"/>
        <v>1.3613568165555769</v>
      </c>
      <c r="C86" s="19">
        <f t="shared" si="43"/>
        <v>33.193976066553034</v>
      </c>
      <c r="D86" s="20">
        <f t="shared" si="44"/>
        <v>32.988996702282776</v>
      </c>
      <c r="E86" s="21">
        <f t="shared" si="45"/>
        <v>32.877415804611019</v>
      </c>
      <c r="F86" s="22">
        <f t="shared" si="46"/>
        <v>32.673263539543086</v>
      </c>
      <c r="G86" s="23">
        <f t="shared" si="47"/>
        <v>32.45115857961477</v>
      </c>
      <c r="H86" s="24">
        <f t="shared" si="48"/>
        <v>32.229683422190192</v>
      </c>
      <c r="I86" s="25">
        <f t="shared" si="49"/>
        <v>31.715339144784366</v>
      </c>
      <c r="K86">
        <v>78</v>
      </c>
      <c r="L86" s="18">
        <f t="shared" si="57"/>
        <v>1.3613568165555769</v>
      </c>
      <c r="M86" s="26">
        <f t="shared" si="50"/>
        <v>52.20903590017042</v>
      </c>
      <c r="N86" s="20">
        <f t="shared" si="51"/>
        <v>52.516504946575822</v>
      </c>
      <c r="O86" s="21">
        <f t="shared" si="52"/>
        <v>52.683876293083472</v>
      </c>
      <c r="P86" s="22">
        <f t="shared" si="53"/>
        <v>52.990104690685314</v>
      </c>
      <c r="Q86" s="23">
        <f t="shared" si="54"/>
        <v>53.323262130577916</v>
      </c>
      <c r="R86" s="24">
        <f t="shared" si="55"/>
        <v>53.655474866714712</v>
      </c>
      <c r="S86" s="25">
        <f t="shared" si="56"/>
        <v>54.426991282823451</v>
      </c>
    </row>
    <row r="87" spans="1:19">
      <c r="A87">
        <v>79</v>
      </c>
      <c r="B87" s="18">
        <f t="shared" si="42"/>
        <v>1.3788101090755203</v>
      </c>
      <c r="C87" s="19">
        <f t="shared" si="43"/>
        <v>32.07929227052216</v>
      </c>
      <c r="D87" s="20">
        <f t="shared" si="44"/>
        <v>31.872719033356077</v>
      </c>
      <c r="E87" s="21">
        <f t="shared" si="45"/>
        <v>31.760271818938605</v>
      </c>
      <c r="F87" s="22">
        <f t="shared" si="46"/>
        <v>31.55453689544143</v>
      </c>
      <c r="G87" s="23">
        <f t="shared" si="47"/>
        <v>31.330713592571783</v>
      </c>
      <c r="H87" s="24">
        <f t="shared" si="48"/>
        <v>31.107528572919108</v>
      </c>
      <c r="I87" s="25">
        <f t="shared" si="49"/>
        <v>30.589227204645709</v>
      </c>
      <c r="K87">
        <v>79</v>
      </c>
      <c r="L87" s="18">
        <f t="shared" si="57"/>
        <v>1.3788101090755203</v>
      </c>
      <c r="M87" s="26">
        <f t="shared" si="50"/>
        <v>52.88106159421676</v>
      </c>
      <c r="N87" s="20">
        <f t="shared" si="51"/>
        <v>53.190921449965913</v>
      </c>
      <c r="O87" s="21">
        <f t="shared" si="52"/>
        <v>53.359592271592135</v>
      </c>
      <c r="P87" s="22">
        <f t="shared" si="53"/>
        <v>53.668194656837898</v>
      </c>
      <c r="Q87" s="23">
        <f t="shared" si="54"/>
        <v>54.003929611142382</v>
      </c>
      <c r="R87" s="24">
        <f t="shared" si="55"/>
        <v>54.338707140621295</v>
      </c>
      <c r="S87" s="25">
        <f t="shared" si="56"/>
        <v>55.116159193031422</v>
      </c>
    </row>
    <row r="88" spans="1:19">
      <c r="A88">
        <v>80</v>
      </c>
      <c r="B88" s="18">
        <f t="shared" si="42"/>
        <v>1.3962634015954636</v>
      </c>
      <c r="C88" s="19">
        <f t="shared" si="43"/>
        <v>30.891809545798708</v>
      </c>
      <c r="D88" s="20">
        <f t="shared" si="44"/>
        <v>30.683761651715685</v>
      </c>
      <c r="E88" s="21">
        <f t="shared" si="45"/>
        <v>30.570512945026337</v>
      </c>
      <c r="F88" s="22">
        <f t="shared" si="46"/>
        <v>30.363313838942048</v>
      </c>
      <c r="G88" s="23">
        <f t="shared" si="47"/>
        <v>30.137900898003778</v>
      </c>
      <c r="H88" s="24">
        <f t="shared" si="48"/>
        <v>29.913134159896572</v>
      </c>
      <c r="I88" s="25">
        <f t="shared" si="49"/>
        <v>29.391172543339991</v>
      </c>
      <c r="K88">
        <v>80</v>
      </c>
      <c r="L88" s="18">
        <f t="shared" si="57"/>
        <v>1.3962634015954636</v>
      </c>
      <c r="M88" s="26">
        <f t="shared" si="50"/>
        <v>53.662285681301967</v>
      </c>
      <c r="N88" s="20">
        <f t="shared" si="51"/>
        <v>53.97435752242643</v>
      </c>
      <c r="O88" s="21">
        <f t="shared" si="52"/>
        <v>54.144230582460523</v>
      </c>
      <c r="P88" s="22">
        <f t="shared" si="53"/>
        <v>54.455029241586885</v>
      </c>
      <c r="Q88" s="23">
        <f t="shared" si="54"/>
        <v>54.793148652994319</v>
      </c>
      <c r="R88" s="24">
        <f t="shared" si="55"/>
        <v>55.130298760155142</v>
      </c>
      <c r="S88" s="25">
        <f t="shared" si="56"/>
        <v>55.91324118499</v>
      </c>
    </row>
    <row r="89" spans="1:19">
      <c r="A89">
        <v>81</v>
      </c>
      <c r="B89" s="18">
        <f t="shared" si="42"/>
        <v>1.4137166941154069</v>
      </c>
      <c r="C89" s="19">
        <f t="shared" si="43"/>
        <v>29.630436160630552</v>
      </c>
      <c r="D89" s="20">
        <f t="shared" si="44"/>
        <v>29.421037729267653</v>
      </c>
      <c r="E89" s="21">
        <f t="shared" si="45"/>
        <v>29.307055013697351</v>
      </c>
      <c r="F89" s="22">
        <f t="shared" si="46"/>
        <v>29.098515046833711</v>
      </c>
      <c r="G89" s="23">
        <f t="shared" si="47"/>
        <v>28.871646417219438</v>
      </c>
      <c r="H89" s="24">
        <f t="shared" si="48"/>
        <v>28.645431305627397</v>
      </c>
      <c r="I89" s="25">
        <f t="shared" si="49"/>
        <v>28.120118253793692</v>
      </c>
      <c r="K89">
        <v>81</v>
      </c>
      <c r="L89" s="18">
        <f t="shared" si="57"/>
        <v>1.4137166941154069</v>
      </c>
      <c r="M89" s="26">
        <f t="shared" si="50"/>
        <v>54.554345759054172</v>
      </c>
      <c r="N89" s="20">
        <f t="shared" si="51"/>
        <v>54.868443406098493</v>
      </c>
      <c r="O89" s="21">
        <f t="shared" si="52"/>
        <v>55.039417479453959</v>
      </c>
      <c r="P89" s="22">
        <f t="shared" si="53"/>
        <v>55.352227429749405</v>
      </c>
      <c r="Q89" s="23">
        <f t="shared" si="54"/>
        <v>55.692530374170872</v>
      </c>
      <c r="R89" s="24">
        <f t="shared" si="55"/>
        <v>56.031853041558918</v>
      </c>
      <c r="S89" s="25">
        <f t="shared" si="56"/>
        <v>56.819822619309434</v>
      </c>
    </row>
    <row r="90" spans="1:19">
      <c r="A90">
        <v>82</v>
      </c>
      <c r="B90" s="18">
        <f t="shared" si="42"/>
        <v>1.43116998663535</v>
      </c>
      <c r="C90" s="19">
        <f t="shared" si="43"/>
        <v>28.294161556566024</v>
      </c>
      <c r="D90" s="20">
        <f t="shared" si="44"/>
        <v>28.083541317183943</v>
      </c>
      <c r="E90" s="21">
        <f t="shared" si="45"/>
        <v>27.968894575379665</v>
      </c>
      <c r="F90" s="22">
        <f t="shared" si="46"/>
        <v>27.759141624112686</v>
      </c>
      <c r="G90" s="23">
        <f t="shared" si="47"/>
        <v>27.530956183774236</v>
      </c>
      <c r="H90" s="24">
        <f t="shared" si="48"/>
        <v>27.303430930899253</v>
      </c>
      <c r="I90" s="25">
        <f t="shared" si="49"/>
        <v>26.775086502310018</v>
      </c>
      <c r="K90">
        <v>82</v>
      </c>
      <c r="L90" s="18">
        <f t="shared" si="57"/>
        <v>1.43116998663535</v>
      </c>
      <c r="M90" s="26">
        <f t="shared" si="50"/>
        <v>55.558757665150949</v>
      </c>
      <c r="N90" s="20">
        <f t="shared" si="51"/>
        <v>55.874688024224099</v>
      </c>
      <c r="O90" s="21">
        <f t="shared" si="52"/>
        <v>56.046658136930489</v>
      </c>
      <c r="P90" s="22">
        <f t="shared" si="53"/>
        <v>56.361287563830956</v>
      </c>
      <c r="Q90" s="23">
        <f t="shared" si="54"/>
        <v>56.703565724338716</v>
      </c>
      <c r="R90" s="24">
        <f t="shared" si="55"/>
        <v>57.04485360365112</v>
      </c>
      <c r="S90" s="25">
        <f t="shared" si="56"/>
        <v>57.837370246534988</v>
      </c>
    </row>
    <row r="91" spans="1:19">
      <c r="A91">
        <v>83</v>
      </c>
      <c r="B91" s="18">
        <f t="shared" si="42"/>
        <v>1.4486232791552935</v>
      </c>
      <c r="C91" s="19">
        <f t="shared" si="43"/>
        <v>26.882062614233519</v>
      </c>
      <c r="D91" s="20">
        <f t="shared" si="44"/>
        <v>26.670353565889343</v>
      </c>
      <c r="E91" s="21">
        <f t="shared" si="45"/>
        <v>26.555115095314591</v>
      </c>
      <c r="F91" s="22">
        <f t="shared" si="46"/>
        <v>26.344281254125491</v>
      </c>
      <c r="G91" s="23">
        <f t="shared" si="47"/>
        <v>26.114922444979271</v>
      </c>
      <c r="H91" s="24">
        <f t="shared" si="48"/>
        <v>25.886229808199971</v>
      </c>
      <c r="I91" s="25">
        <f t="shared" si="49"/>
        <v>25.355184471841511</v>
      </c>
      <c r="K91">
        <v>83</v>
      </c>
      <c r="L91" s="18">
        <f t="shared" si="57"/>
        <v>1.4486232791552935</v>
      </c>
      <c r="M91" s="26">
        <f t="shared" si="50"/>
        <v>56.676906078649722</v>
      </c>
      <c r="N91" s="20">
        <f t="shared" si="51"/>
        <v>56.994469651165957</v>
      </c>
      <c r="O91" s="21">
        <f t="shared" si="52"/>
        <v>57.167327357028171</v>
      </c>
      <c r="P91" s="22">
        <f t="shared" si="53"/>
        <v>57.483578118811749</v>
      </c>
      <c r="Q91" s="23">
        <f t="shared" si="54"/>
        <v>57.827616332531136</v>
      </c>
      <c r="R91" s="24">
        <f t="shared" si="55"/>
        <v>58.170655287700015</v>
      </c>
      <c r="S91" s="25">
        <f t="shared" si="56"/>
        <v>58.967223292237748</v>
      </c>
    </row>
    <row r="92" spans="1:19">
      <c r="A92">
        <v>84</v>
      </c>
      <c r="B92" s="18">
        <f t="shared" si="42"/>
        <v>1.4660765716752369</v>
      </c>
      <c r="C92" s="19">
        <f t="shared" si="43"/>
        <v>25.393309546503275</v>
      </c>
      <c r="D92" s="20">
        <f t="shared" si="44"/>
        <v>25.180648574250512</v>
      </c>
      <c r="E92" s="21">
        <f t="shared" si="45"/>
        <v>25.064892778956533</v>
      </c>
      <c r="F92" s="22">
        <f t="shared" si="46"/>
        <v>24.853113980710276</v>
      </c>
      <c r="G92" s="23">
        <f t="shared" si="47"/>
        <v>24.622729397368687</v>
      </c>
      <c r="H92" s="24">
        <f t="shared" si="48"/>
        <v>24.393016251043775</v>
      </c>
      <c r="I92" s="25">
        <f t="shared" si="49"/>
        <v>23.859609945679665</v>
      </c>
      <c r="K92">
        <v>84</v>
      </c>
      <c r="L92" s="18">
        <f t="shared" si="57"/>
        <v>1.4660765716752369</v>
      </c>
      <c r="M92" s="26">
        <f t="shared" si="50"/>
        <v>57.910035680245073</v>
      </c>
      <c r="N92" s="20">
        <f t="shared" si="51"/>
        <v>58.229027138624247</v>
      </c>
      <c r="O92" s="21">
        <f t="shared" si="52"/>
        <v>58.402660831565186</v>
      </c>
      <c r="P92" s="22">
        <f t="shared" si="53"/>
        <v>58.7203290289346</v>
      </c>
      <c r="Q92" s="23">
        <f t="shared" si="54"/>
        <v>59.065905903946941</v>
      </c>
      <c r="R92" s="24">
        <f t="shared" si="55"/>
        <v>59.410475623434309</v>
      </c>
      <c r="S92" s="25">
        <f t="shared" si="56"/>
        <v>60.210585081480531</v>
      </c>
    </row>
    <row r="93" spans="1:19">
      <c r="A93">
        <v>85</v>
      </c>
      <c r="B93" s="18">
        <f t="shared" si="42"/>
        <v>1.4835298641951802</v>
      </c>
      <c r="C93" s="19">
        <f t="shared" si="43"/>
        <v>23.827171335004607</v>
      </c>
      <c r="D93" s="20">
        <f t="shared" si="44"/>
        <v>23.613698784783537</v>
      </c>
      <c r="E93" s="21">
        <f t="shared" si="45"/>
        <v>23.497501944835619</v>
      </c>
      <c r="F93" s="22">
        <f t="shared" si="46"/>
        <v>23.284917540432929</v>
      </c>
      <c r="G93" s="23">
        <f t="shared" si="47"/>
        <v>23.053658475111206</v>
      </c>
      <c r="H93" s="24">
        <f t="shared" si="48"/>
        <v>22.823075359066763</v>
      </c>
      <c r="I93" s="25">
        <f t="shared" si="49"/>
        <v>22.287656453417696</v>
      </c>
      <c r="K93">
        <v>85</v>
      </c>
      <c r="L93" s="18">
        <f t="shared" si="57"/>
        <v>1.4835298641951802</v>
      </c>
      <c r="M93" s="26">
        <f t="shared" si="50"/>
        <v>59.259242997493118</v>
      </c>
      <c r="N93" s="20">
        <f t="shared" si="51"/>
        <v>59.579451822824694</v>
      </c>
      <c r="O93" s="21">
        <f t="shared" si="52"/>
        <v>59.753747082746543</v>
      </c>
      <c r="P93" s="22">
        <f t="shared" si="53"/>
        <v>60.072623689350564</v>
      </c>
      <c r="Q93" s="23">
        <f t="shared" si="54"/>
        <v>60.419512287333191</v>
      </c>
      <c r="R93" s="24">
        <f t="shared" si="55"/>
        <v>60.765386961399884</v>
      </c>
      <c r="S93" s="25">
        <f t="shared" si="56"/>
        <v>61.568515319873427</v>
      </c>
    </row>
    <row r="94" spans="1:19">
      <c r="A94">
        <v>86</v>
      </c>
      <c r="B94" s="18">
        <f t="shared" si="42"/>
        <v>1.5009831567151233</v>
      </c>
      <c r="C94" s="19">
        <f t="shared" si="43"/>
        <v>22.18302062944494</v>
      </c>
      <c r="D94" s="20">
        <f t="shared" si="44"/>
        <v>21.968879845155584</v>
      </c>
      <c r="E94" s="21">
        <f t="shared" si="45"/>
        <v>21.852319865606006</v>
      </c>
      <c r="F94" s="22">
        <f t="shared" si="46"/>
        <v>21.639072166452706</v>
      </c>
      <c r="G94" s="23">
        <f t="shared" si="47"/>
        <v>21.407093113773129</v>
      </c>
      <c r="H94" s="24">
        <f t="shared" si="48"/>
        <v>21.175793742161488</v>
      </c>
      <c r="I94" s="25">
        <f t="shared" si="49"/>
        <v>20.638717904417462</v>
      </c>
      <c r="K94">
        <v>86</v>
      </c>
      <c r="L94" s="18">
        <f t="shared" si="57"/>
        <v>1.5009831567151233</v>
      </c>
      <c r="M94" s="26">
        <f t="shared" si="50"/>
        <v>60.725469055832605</v>
      </c>
      <c r="N94" s="20">
        <f t="shared" si="51"/>
        <v>61.046680232266567</v>
      </c>
      <c r="O94" s="21">
        <f t="shared" si="52"/>
        <v>61.221520201590977</v>
      </c>
      <c r="P94" s="22">
        <f t="shared" si="53"/>
        <v>61.541391750320997</v>
      </c>
      <c r="Q94" s="23">
        <f t="shared" si="54"/>
        <v>61.88936032934032</v>
      </c>
      <c r="R94" s="24">
        <f t="shared" si="55"/>
        <v>62.236309386757739</v>
      </c>
      <c r="S94" s="25">
        <f t="shared" si="56"/>
        <v>63.041923143373822</v>
      </c>
    </row>
    <row r="95" spans="1:19">
      <c r="A95">
        <v>87</v>
      </c>
      <c r="B95" s="18">
        <f t="shared" si="42"/>
        <v>1.5184364492350666</v>
      </c>
      <c r="C95" s="19">
        <f t="shared" si="43"/>
        <v>20.460338034701948</v>
      </c>
      <c r="D95" s="20">
        <f t="shared" si="44"/>
        <v>20.245674861740042</v>
      </c>
      <c r="E95" s="21">
        <f t="shared" si="45"/>
        <v>20.128831003464029</v>
      </c>
      <c r="F95" s="22">
        <f t="shared" si="46"/>
        <v>19.91506479097535</v>
      </c>
      <c r="G95" s="23">
        <f t="shared" si="47"/>
        <v>19.682522917222713</v>
      </c>
      <c r="H95" s="24">
        <f t="shared" si="48"/>
        <v>19.450663652256651</v>
      </c>
      <c r="I95" s="25">
        <f t="shared" si="49"/>
        <v>18.912292639249813</v>
      </c>
      <c r="K95">
        <v>87</v>
      </c>
      <c r="L95" s="18">
        <f t="shared" si="57"/>
        <v>1.5184364492350666</v>
      </c>
      <c r="M95" s="26">
        <f t="shared" si="50"/>
        <v>62.309492947947035</v>
      </c>
      <c r="N95" s="20">
        <f t="shared" si="51"/>
        <v>62.631487707389908</v>
      </c>
      <c r="O95" s="21">
        <f t="shared" si="52"/>
        <v>62.8067534948039</v>
      </c>
      <c r="P95" s="22">
        <f t="shared" si="53"/>
        <v>63.127402813536946</v>
      </c>
      <c r="Q95" s="23">
        <f t="shared" si="54"/>
        <v>63.476215624165889</v>
      </c>
      <c r="R95" s="24">
        <f t="shared" si="55"/>
        <v>63.824004521615052</v>
      </c>
      <c r="S95" s="25">
        <f t="shared" si="56"/>
        <v>64.631561041125281</v>
      </c>
    </row>
    <row r="96" spans="1:19">
      <c r="A96">
        <v>88</v>
      </c>
      <c r="B96" s="18">
        <f t="shared" si="42"/>
        <v>1.5358897417550099</v>
      </c>
      <c r="C96" s="19">
        <f t="shared" si="43"/>
        <v>18.65871571817226</v>
      </c>
      <c r="D96" s="20">
        <f t="shared" si="44"/>
        <v>18.443677978432845</v>
      </c>
      <c r="E96" s="21">
        <f t="shared" si="45"/>
        <v>18.326630573537329</v>
      </c>
      <c r="F96" s="22">
        <f t="shared" si="46"/>
        <v>18.112492580600019</v>
      </c>
      <c r="G96" s="23">
        <f t="shared" si="47"/>
        <v>17.879547162742142</v>
      </c>
      <c r="H96" s="24">
        <f t="shared" si="48"/>
        <v>17.647286458559932</v>
      </c>
      <c r="I96" s="25">
        <f t="shared" si="49"/>
        <v>17.107986836631483</v>
      </c>
      <c r="K96">
        <v>88</v>
      </c>
      <c r="L96" s="18">
        <f t="shared" si="57"/>
        <v>1.5358897417550099</v>
      </c>
      <c r="M96" s="26">
        <f t="shared" si="50"/>
        <v>64.01192642274151</v>
      </c>
      <c r="N96" s="20">
        <f t="shared" si="51"/>
        <v>64.334483032350761</v>
      </c>
      <c r="O96" s="21">
        <f t="shared" si="52"/>
        <v>64.510054139694034</v>
      </c>
      <c r="P96" s="22">
        <f t="shared" si="53"/>
        <v>64.831261129099971</v>
      </c>
      <c r="Q96" s="23">
        <f t="shared" si="54"/>
        <v>65.180679255886787</v>
      </c>
      <c r="R96" s="24">
        <f t="shared" si="55"/>
        <v>65.529070312160115</v>
      </c>
      <c r="S96" s="25">
        <f t="shared" si="56"/>
        <v>66.338019745052748</v>
      </c>
    </row>
    <row r="97" spans="1:19">
      <c r="A97">
        <v>89</v>
      </c>
      <c r="B97" s="18">
        <f t="shared" si="42"/>
        <v>1.5533430342749535</v>
      </c>
      <c r="C97" s="19">
        <f t="shared" si="43"/>
        <v>16.777860279250149</v>
      </c>
      <c r="D97" s="20">
        <f t="shared" si="44"/>
        <v>16.562597223234576</v>
      </c>
      <c r="E97" s="21">
        <f t="shared" si="45"/>
        <v>16.445427378086237</v>
      </c>
      <c r="F97" s="22">
        <f t="shared" si="46"/>
        <v>16.231065748022331</v>
      </c>
      <c r="G97" s="23">
        <f t="shared" si="47"/>
        <v>15.997877588474125</v>
      </c>
      <c r="H97" s="24">
        <f t="shared" si="48"/>
        <v>15.765375411043948</v>
      </c>
      <c r="I97" s="25">
        <f t="shared" si="49"/>
        <v>15.225517222127763</v>
      </c>
      <c r="K97">
        <v>89</v>
      </c>
      <c r="L97" s="18">
        <f t="shared" si="57"/>
        <v>1.5533430342749535</v>
      </c>
      <c r="M97" s="26">
        <f t="shared" si="50"/>
        <v>65.833209581124777</v>
      </c>
      <c r="N97" s="20">
        <f t="shared" si="51"/>
        <v>66.156104165148179</v>
      </c>
      <c r="O97" s="21">
        <f t="shared" si="52"/>
        <v>66.331858932870659</v>
      </c>
      <c r="P97" s="22">
        <f t="shared" si="53"/>
        <v>66.653401377966475</v>
      </c>
      <c r="Q97" s="23">
        <f t="shared" si="54"/>
        <v>67.003183617288869</v>
      </c>
      <c r="R97" s="24">
        <f t="shared" si="55"/>
        <v>67.351936883434121</v>
      </c>
      <c r="S97" s="25">
        <f t="shared" si="56"/>
        <v>68.161724166808369</v>
      </c>
    </row>
    <row r="98" spans="1:19">
      <c r="A98">
        <v>90</v>
      </c>
      <c r="B98" s="18">
        <f t="shared" si="42"/>
        <v>1.5707963267948966</v>
      </c>
      <c r="C98" s="19">
        <f t="shared" si="43"/>
        <v>14.817594833842918</v>
      </c>
      <c r="D98" s="20">
        <f t="shared" si="44"/>
        <v>14.602256576024274</v>
      </c>
      <c r="E98" s="21">
        <f t="shared" si="45"/>
        <v>14.485045865226141</v>
      </c>
      <c r="F98" s="22">
        <f t="shared" si="46"/>
        <v>14.27060959430716</v>
      </c>
      <c r="G98" s="23">
        <f t="shared" si="47"/>
        <v>14.037340417961246</v>
      </c>
      <c r="H98" s="24">
        <f t="shared" si="48"/>
        <v>13.804757647470211</v>
      </c>
      <c r="I98" s="25">
        <f t="shared" si="49"/>
        <v>13.264713035132729</v>
      </c>
      <c r="K98">
        <v>90</v>
      </c>
      <c r="L98" s="18">
        <f t="shared" si="57"/>
        <v>1.5707963267948966</v>
      </c>
      <c r="M98" s="26">
        <f t="shared" si="50"/>
        <v>67.773607749235623</v>
      </c>
      <c r="N98" s="20">
        <f t="shared" si="51"/>
        <v>68.096615135963589</v>
      </c>
      <c r="O98" s="21">
        <f t="shared" si="52"/>
        <v>68.27243120216076</v>
      </c>
      <c r="P98" s="22">
        <f t="shared" si="53"/>
        <v>68.594085608539274</v>
      </c>
      <c r="Q98" s="23">
        <f t="shared" si="54"/>
        <v>68.943989373058173</v>
      </c>
      <c r="R98" s="24">
        <f t="shared" si="55"/>
        <v>69.292863528794726</v>
      </c>
      <c r="S98" s="25">
        <f t="shared" si="56"/>
        <v>70.102930447300935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5ECC-C676-4263-BD3B-A0F127241EBF}">
  <dimension ref="A1:Y83"/>
  <sheetViews>
    <sheetView topLeftCell="A79" workbookViewId="0">
      <selection activeCell="I10" sqref="I10"/>
    </sheetView>
  </sheetViews>
  <sheetFormatPr defaultRowHeight="14.45"/>
  <cols>
    <col min="3" max="3" width="10.42578125" bestFit="1" customWidth="1"/>
    <col min="6" max="6" width="12.7109375" bestFit="1" customWidth="1"/>
    <col min="11" max="11" width="9.5703125" bestFit="1" customWidth="1"/>
    <col min="20" max="20" width="9.5703125" bestFit="1" customWidth="1"/>
  </cols>
  <sheetData>
    <row r="1" spans="1:25" ht="18">
      <c r="A1" s="17" t="s">
        <v>16</v>
      </c>
      <c r="F1" s="17" t="s">
        <v>17</v>
      </c>
      <c r="I1" s="17" t="s">
        <v>58</v>
      </c>
      <c r="K1" s="28" t="s">
        <v>59</v>
      </c>
      <c r="S1" t="s">
        <v>60</v>
      </c>
    </row>
    <row r="2" spans="1:25" s="28" customFormat="1">
      <c r="A2" s="28" t="s">
        <v>41</v>
      </c>
      <c r="B2" s="28" t="s">
        <v>42</v>
      </c>
      <c r="C2" s="28" t="s">
        <v>43</v>
      </c>
      <c r="D2" s="28" t="s">
        <v>59</v>
      </c>
      <c r="F2" s="28" t="s">
        <v>45</v>
      </c>
      <c r="G2" s="28" t="s">
        <v>60</v>
      </c>
      <c r="I2" s="28" t="s">
        <v>61</v>
      </c>
      <c r="K2" s="36" t="s">
        <v>47</v>
      </c>
      <c r="L2" s="37" t="s">
        <v>48</v>
      </c>
      <c r="M2" s="38" t="s">
        <v>49</v>
      </c>
      <c r="N2" s="39" t="s">
        <v>50</v>
      </c>
      <c r="O2" s="40" t="s">
        <v>51</v>
      </c>
      <c r="P2" s="41" t="s">
        <v>52</v>
      </c>
      <c r="Q2" s="42" t="s">
        <v>53</v>
      </c>
      <c r="S2" s="36" t="s">
        <v>54</v>
      </c>
      <c r="T2" s="37" t="s">
        <v>55</v>
      </c>
      <c r="U2" s="38" t="s">
        <v>56</v>
      </c>
      <c r="V2" s="39" t="s">
        <v>57</v>
      </c>
      <c r="W2" s="40" t="s">
        <v>29</v>
      </c>
      <c r="X2" s="41" t="s">
        <v>30</v>
      </c>
      <c r="Y2" s="42" t="s">
        <v>31</v>
      </c>
    </row>
    <row r="3" spans="1:25">
      <c r="A3" s="2">
        <v>405</v>
      </c>
      <c r="B3" s="1">
        <f xml:space="preserve"> SQRT(1 + 1/SQRT(1.731 - 0.261*(A3/1000)^2))</f>
        <v>1.330279348645736</v>
      </c>
      <c r="C3">
        <f t="shared" ref="C3:C34" si="0">ASIN(SQRT((9 - B3^2)/8))*180/PI()</f>
        <v>71.93052769509346</v>
      </c>
      <c r="D3" s="1">
        <f>ASIN(SIN(C3*PI()/180)/B3)*180/PI()</f>
        <v>45.614337474554368</v>
      </c>
      <c r="F3" s="1">
        <f t="shared" ref="F3:F34" si="1">ASIN(SQRT((4 - B3^2)/3))*180/PI()</f>
        <v>59.568665082082276</v>
      </c>
      <c r="G3" s="1">
        <f>ASIN(SIN(F3*PI()/180)/B3)*180/PI()</f>
        <v>40.40318265208181</v>
      </c>
      <c r="I3">
        <f>DEGREES(ASIN(1/B3))</f>
        <v>48.73974732558073</v>
      </c>
      <c r="K3" s="27">
        <v>45.614337474554368</v>
      </c>
      <c r="S3">
        <v>40.40318265208181</v>
      </c>
    </row>
    <row r="4" spans="1:25">
      <c r="A4" s="2">
        <v>410</v>
      </c>
      <c r="B4" s="1">
        <f t="shared" ref="B4:B67" si="2" xml:space="preserve"> SQRT(1 + 1/SQRT(1.731 - 0.261*(A4/1000)^2))</f>
        <v>1.3303705127529164</v>
      </c>
      <c r="C4">
        <f t="shared" si="0"/>
        <v>71.927582262385286</v>
      </c>
      <c r="D4" s="1">
        <f t="shared" ref="D4:D67" si="3">ASIN(SIN(C4*PI()/180)/B4)*180/PI()</f>
        <v>45.609344551182133</v>
      </c>
      <c r="F4" s="1">
        <f t="shared" si="1"/>
        <v>59.563361736117237</v>
      </c>
      <c r="G4" s="1">
        <f t="shared" ref="G4:G67" si="4">ASIN(SIN(F4*PI()/180)/B4)*180/PI()</f>
        <v>40.397189373078454</v>
      </c>
      <c r="I4">
        <f t="shared" ref="I4:I67" si="5">DEGREES(ASIN(1/B4))</f>
        <v>48.735272152154238</v>
      </c>
      <c r="K4" s="27">
        <v>45.609344551182133</v>
      </c>
      <c r="S4">
        <v>40.397189373078454</v>
      </c>
    </row>
    <row r="5" spans="1:25">
      <c r="A5" s="2">
        <v>415</v>
      </c>
      <c r="B5" s="1">
        <f t="shared" si="2"/>
        <v>1.330462876907792</v>
      </c>
      <c r="C5">
        <f t="shared" si="0"/>
        <v>71.924598274151165</v>
      </c>
      <c r="D5" s="1">
        <f t="shared" si="3"/>
        <v>45.604286968517052</v>
      </c>
      <c r="F5" s="1">
        <f t="shared" si="1"/>
        <v>59.557988766292908</v>
      </c>
      <c r="G5" s="1">
        <f t="shared" si="4"/>
        <v>40.391118250160744</v>
      </c>
      <c r="I5">
        <f t="shared" si="5"/>
        <v>48.73073910093477</v>
      </c>
      <c r="K5" s="27">
        <v>45.604286968517052</v>
      </c>
      <c r="S5">
        <v>40.391118250160744</v>
      </c>
    </row>
    <row r="6" spans="1:25">
      <c r="A6" s="2">
        <v>420</v>
      </c>
      <c r="B6" s="1">
        <f t="shared" si="2"/>
        <v>1.3305564442172819</v>
      </c>
      <c r="C6">
        <f t="shared" si="0"/>
        <v>71.921575638411539</v>
      </c>
      <c r="D6" s="1">
        <f t="shared" si="3"/>
        <v>45.599164597821002</v>
      </c>
      <c r="F6" s="1">
        <f t="shared" si="1"/>
        <v>59.552545998978033</v>
      </c>
      <c r="G6" s="1">
        <f t="shared" si="4"/>
        <v>40.384969119801617</v>
      </c>
      <c r="I6">
        <f t="shared" si="5"/>
        <v>48.726148059516809</v>
      </c>
      <c r="K6" s="27">
        <v>45.599164597821002</v>
      </c>
      <c r="S6">
        <v>40.384969119801617</v>
      </c>
    </row>
    <row r="7" spans="1:25">
      <c r="A7" s="2">
        <v>425</v>
      </c>
      <c r="B7" s="1">
        <f t="shared" si="2"/>
        <v>1.3306512178339036</v>
      </c>
      <c r="C7">
        <f t="shared" si="0"/>
        <v>71.918514261844962</v>
      </c>
      <c r="D7" s="1">
        <f t="shared" si="3"/>
        <v>45.593977308515058</v>
      </c>
      <c r="F7" s="1">
        <f t="shared" si="1"/>
        <v>59.547033257991018</v>
      </c>
      <c r="G7" s="1">
        <f t="shared" si="4"/>
        <v>40.378741816117987</v>
      </c>
      <c r="I7">
        <f t="shared" si="5"/>
        <v>48.721498913892646</v>
      </c>
      <c r="K7" s="27">
        <v>45.593977308515058</v>
      </c>
      <c r="S7">
        <v>40.378741816117987</v>
      </c>
    </row>
    <row r="8" spans="1:25">
      <c r="A8" s="2">
        <v>430</v>
      </c>
      <c r="B8" s="1">
        <f t="shared" si="2"/>
        <v>1.3307472009560835</v>
      </c>
      <c r="C8">
        <f t="shared" si="0"/>
        <v>71.915414049778917</v>
      </c>
      <c r="D8" s="1">
        <f t="shared" si="3"/>
        <v>45.588724968168556</v>
      </c>
      <c r="F8" s="1">
        <f t="shared" si="1"/>
        <v>59.541450364582261</v>
      </c>
      <c r="G8" s="1">
        <f t="shared" si="4"/>
        <v>40.372436170856254</v>
      </c>
      <c r="I8">
        <f t="shared" si="5"/>
        <v>48.716791548443069</v>
      </c>
      <c r="K8" s="27">
        <v>45.588724968168556</v>
      </c>
      <c r="S8">
        <v>40.372436170856254</v>
      </c>
    </row>
    <row r="9" spans="1:25">
      <c r="A9" s="2">
        <v>435</v>
      </c>
      <c r="B9" s="1">
        <f t="shared" si="2"/>
        <v>1.3308443968284747</v>
      </c>
      <c r="C9">
        <f t="shared" si="0"/>
        <v>71.912274906180855</v>
      </c>
      <c r="D9" s="1">
        <f t="shared" si="3"/>
        <v>45.583407442487967</v>
      </c>
      <c r="F9" s="1">
        <f t="shared" si="1"/>
        <v>59.535797137416274</v>
      </c>
      <c r="G9" s="1">
        <f t="shared" si="4"/>
        <v>40.366052013377299</v>
      </c>
      <c r="I9">
        <f t="shared" si="5"/>
        <v>48.71202584592784</v>
      </c>
      <c r="K9" s="27">
        <v>45.583407442487967</v>
      </c>
      <c r="S9">
        <v>40.366052013377299</v>
      </c>
    </row>
    <row r="10" spans="1:25">
      <c r="A10" s="2">
        <v>440</v>
      </c>
      <c r="B10" s="1">
        <f t="shared" si="2"/>
        <v>1.3309428087422792</v>
      </c>
      <c r="C10">
        <f t="shared" si="0"/>
        <v>71.909096733649093</v>
      </c>
      <c r="D10" s="1">
        <f t="shared" si="3"/>
        <v>45.578024595305742</v>
      </c>
      <c r="F10" s="1">
        <f t="shared" si="1"/>
        <v>59.53007339255371</v>
      </c>
      <c r="G10" s="1">
        <f t="shared" si="4"/>
        <v>40.359589170641527</v>
      </c>
      <c r="I10">
        <f t="shared" si="5"/>
        <v>48.707201687476086</v>
      </c>
      <c r="K10" s="27">
        <v>45.578024595305742</v>
      </c>
      <c r="S10">
        <v>40.359589170641527</v>
      </c>
    </row>
    <row r="11" spans="1:25">
      <c r="A11" s="2">
        <v>445</v>
      </c>
      <c r="B11" s="1">
        <f t="shared" si="2"/>
        <v>1.3310424400355754</v>
      </c>
      <c r="C11">
        <f t="shared" si="0"/>
        <v>71.905879433403342</v>
      </c>
      <c r="D11" s="1">
        <f t="shared" si="3"/>
        <v>45.572576288568733</v>
      </c>
      <c r="F11" s="1">
        <f t="shared" si="1"/>
        <v>59.524278943432726</v>
      </c>
      <c r="G11" s="1">
        <f t="shared" si="4"/>
        <v>40.353047467193406</v>
      </c>
      <c r="I11">
        <f t="shared" si="5"/>
        <v>48.702318952576604</v>
      </c>
      <c r="K11" s="27">
        <v>45.572576288568733</v>
      </c>
      <c r="S11">
        <v>40.353047467193406</v>
      </c>
    </row>
    <row r="12" spans="1:25">
      <c r="A12" s="2">
        <v>450</v>
      </c>
      <c r="B12" s="1">
        <f t="shared" si="2"/>
        <v>1.3311432940936512</v>
      </c>
      <c r="C12">
        <f t="shared" si="0"/>
        <v>71.90262290527518</v>
      </c>
      <c r="D12" s="1">
        <f t="shared" si="3"/>
        <v>45.567062382326561</v>
      </c>
      <c r="F12" s="1">
        <f t="shared" si="1"/>
        <v>59.518413600850472</v>
      </c>
      <c r="G12" s="1">
        <f t="shared" si="4"/>
        <v>40.346426725146046</v>
      </c>
      <c r="I12">
        <f t="shared" si="5"/>
        <v>48.697377519067778</v>
      </c>
      <c r="K12" s="27">
        <v>45.567062382326561</v>
      </c>
      <c r="S12">
        <v>40.346426725146046</v>
      </c>
    </row>
    <row r="13" spans="1:25">
      <c r="A13" s="2">
        <v>455</v>
      </c>
      <c r="B13" s="1">
        <f t="shared" si="2"/>
        <v>1.3312453743493429</v>
      </c>
      <c r="C13">
        <f t="shared" si="0"/>
        <v>71.899327047698463</v>
      </c>
      <c r="D13" s="1">
        <f t="shared" si="3"/>
        <v>45.561482734719895</v>
      </c>
      <c r="F13" s="1">
        <f t="shared" si="1"/>
        <v>59.512477172943782</v>
      </c>
      <c r="G13" s="1">
        <f t="shared" si="4"/>
        <v>40.339726764165164</v>
      </c>
      <c r="I13">
        <f t="shared" si="5"/>
        <v>48.692377263127618</v>
      </c>
      <c r="K13" s="27">
        <v>45.561482734719895</v>
      </c>
      <c r="S13">
        <v>40.339726764165164</v>
      </c>
    </row>
    <row r="14" spans="1:25">
      <c r="A14" s="2">
        <v>460</v>
      </c>
      <c r="B14" s="1">
        <f t="shared" si="2"/>
        <v>1.3313486842833795</v>
      </c>
      <c r="C14">
        <f t="shared" si="0"/>
        <v>71.895991757699392</v>
      </c>
      <c r="D14" s="1">
        <f t="shared" si="3"/>
        <v>45.555837201968309</v>
      </c>
      <c r="F14" s="1">
        <f t="shared" si="1"/>
        <v>59.506469465169943</v>
      </c>
      <c r="G14" s="1">
        <f t="shared" si="4"/>
        <v>40.332947401453133</v>
      </c>
      <c r="I14">
        <f t="shared" si="5"/>
        <v>48.687318059263376</v>
      </c>
      <c r="K14" s="27">
        <v>45.555837201968309</v>
      </c>
      <c r="S14">
        <v>40.332947401453133</v>
      </c>
    </row>
    <row r="15" spans="1:25">
      <c r="A15" s="2">
        <v>465</v>
      </c>
      <c r="B15" s="1">
        <f t="shared" si="2"/>
        <v>1.3314532274247328</v>
      </c>
      <c r="C15">
        <f t="shared" si="0"/>
        <v>71.892616930886589</v>
      </c>
      <c r="D15" s="1">
        <f t="shared" si="3"/>
        <v>45.550125638358118</v>
      </c>
      <c r="F15" s="1">
        <f t="shared" si="1"/>
        <v>59.500390280287021</v>
      </c>
      <c r="G15" s="1">
        <f t="shared" si="4"/>
        <v>40.32608845173251</v>
      </c>
      <c r="I15">
        <f t="shared" si="5"/>
        <v>48.682199780301232</v>
      </c>
      <c r="K15" s="27">
        <v>45.550125638358118</v>
      </c>
      <c r="S15">
        <v>40.32608845173251</v>
      </c>
    </row>
    <row r="16" spans="1:25">
      <c r="A16" s="2">
        <v>470</v>
      </c>
      <c r="B16" s="1">
        <f t="shared" si="2"/>
        <v>1.3315590073509738</v>
      </c>
      <c r="C16">
        <f t="shared" si="0"/>
        <v>71.889202461440846</v>
      </c>
      <c r="D16" s="1">
        <f t="shared" si="3"/>
        <v>45.544347896229958</v>
      </c>
      <c r="F16" s="1">
        <f t="shared" si="1"/>
        <v>59.494239418333656</v>
      </c>
      <c r="G16" s="1">
        <f t="shared" si="4"/>
        <v>40.31914972722948</v>
      </c>
      <c r="I16">
        <f t="shared" si="5"/>
        <v>48.67702229737565</v>
      </c>
      <c r="K16" s="27">
        <v>45.544347896229958</v>
      </c>
      <c r="S16">
        <v>40.31914972722948</v>
      </c>
    </row>
    <row r="17" spans="1:22">
      <c r="A17" s="2">
        <v>475</v>
      </c>
      <c r="B17" s="1">
        <f t="shared" si="2"/>
        <v>1.3316660276886332</v>
      </c>
      <c r="C17">
        <f t="shared" si="0"/>
        <v>71.885748242104938</v>
      </c>
      <c r="D17" s="1">
        <f t="shared" si="3"/>
        <v>45.538503825966188</v>
      </c>
      <c r="F17" s="1">
        <f t="shared" si="1"/>
        <v>59.488016676608872</v>
      </c>
      <c r="G17" s="1">
        <f t="shared" si="4"/>
        <v>40.312131037656911</v>
      </c>
      <c r="I17">
        <f t="shared" si="5"/>
        <v>48.671785479918604</v>
      </c>
      <c r="K17" s="27">
        <v>45.538503825966188</v>
      </c>
      <c r="S17">
        <v>40.312131037656911</v>
      </c>
    </row>
    <row r="18" spans="1:22">
      <c r="A18" s="16">
        <v>480</v>
      </c>
      <c r="B18" s="1">
        <f t="shared" si="2"/>
        <v>1.3317742921135702</v>
      </c>
      <c r="C18">
        <f t="shared" si="0"/>
        <v>71.88225416417302</v>
      </c>
      <c r="D18" s="1">
        <f t="shared" si="3"/>
        <v>45.532593275978115</v>
      </c>
      <c r="F18" s="1">
        <f t="shared" si="1"/>
        <v>59.481721849651258</v>
      </c>
      <c r="G18" s="1">
        <f t="shared" si="4"/>
        <v>40.305032190197217</v>
      </c>
      <c r="I18">
        <f t="shared" si="5"/>
        <v>48.666489195648694</v>
      </c>
      <c r="L18" s="27">
        <v>45.532593275978115</v>
      </c>
      <c r="T18" s="27">
        <v>40.305032190197217</v>
      </c>
    </row>
    <row r="19" spans="1:22">
      <c r="A19" s="16">
        <v>485</v>
      </c>
      <c r="B19" s="1">
        <f t="shared" si="2"/>
        <v>1.3318838043513459</v>
      </c>
      <c r="C19">
        <f t="shared" si="0"/>
        <v>71.878720117479901</v>
      </c>
      <c r="D19" s="1">
        <f t="shared" si="3"/>
        <v>45.526616092692926</v>
      </c>
      <c r="F19" s="1">
        <f t="shared" si="1"/>
        <v>59.475354729218026</v>
      </c>
      <c r="G19" s="1">
        <f t="shared" si="4"/>
        <v>40.29785298948488</v>
      </c>
      <c r="I19">
        <f t="shared" si="5"/>
        <v>48.661133310560054</v>
      </c>
      <c r="L19" s="27">
        <v>45.526616092692926</v>
      </c>
      <c r="T19" s="27">
        <v>40.29785298948488</v>
      </c>
    </row>
    <row r="20" spans="1:22">
      <c r="A20" s="16">
        <v>490</v>
      </c>
      <c r="B20" s="1">
        <f t="shared" si="2"/>
        <v>1.3319945681776031</v>
      </c>
      <c r="C20">
        <f t="shared" si="0"/>
        <v>71.875145990390422</v>
      </c>
      <c r="D20" s="1">
        <f t="shared" si="3"/>
        <v>45.520572120540479</v>
      </c>
      <c r="F20" s="1">
        <f t="shared" si="1"/>
        <v>59.468915104263523</v>
      </c>
      <c r="G20" s="1">
        <f t="shared" si="4"/>
        <v>40.290593237588752</v>
      </c>
      <c r="I20">
        <f t="shared" si="5"/>
        <v>48.655717688910997</v>
      </c>
      <c r="L20" s="27">
        <v>45.520572120540479</v>
      </c>
      <c r="T20" s="27">
        <v>40.290593237588752</v>
      </c>
    </row>
    <row r="21" spans="1:22">
      <c r="A21" s="16">
        <v>495</v>
      </c>
      <c r="B21" s="1">
        <f t="shared" si="2"/>
        <v>1.3321065874184512</v>
      </c>
      <c r="C21">
        <f t="shared" si="0"/>
        <v>71.871531669788155</v>
      </c>
      <c r="D21" s="1">
        <f t="shared" si="3"/>
        <v>45.514461201939973</v>
      </c>
      <c r="F21" s="1">
        <f t="shared" si="1"/>
        <v>59.462402760917541</v>
      </c>
      <c r="G21" s="1">
        <f t="shared" si="4"/>
        <v>40.283252733994054</v>
      </c>
      <c r="I21">
        <f t="shared" si="5"/>
        <v>48.650242193212719</v>
      </c>
      <c r="L21" s="27">
        <v>45.514461201939973</v>
      </c>
      <c r="T21" s="27">
        <v>40.283252733994054</v>
      </c>
    </row>
    <row r="22" spans="1:22">
      <c r="A22" s="16">
        <v>500</v>
      </c>
      <c r="B22" s="1">
        <f t="shared" si="2"/>
        <v>1.3322198659508597</v>
      </c>
      <c r="C22">
        <f t="shared" si="0"/>
        <v>71.867877041064517</v>
      </c>
      <c r="D22" s="1">
        <f t="shared" si="3"/>
        <v>45.508283177286287</v>
      </c>
      <c r="F22" s="1">
        <f t="shared" si="1"/>
        <v>59.455817482463331</v>
      </c>
      <c r="G22" s="1">
        <f t="shared" si="4"/>
        <v>40.275831275584139</v>
      </c>
      <c r="I22">
        <f t="shared" si="5"/>
        <v>48.644706684217539</v>
      </c>
      <c r="L22" s="27">
        <v>45.508283177286287</v>
      </c>
      <c r="T22" s="27">
        <v>40.275831275584139</v>
      </c>
    </row>
    <row r="23" spans="1:22">
      <c r="A23" s="16">
        <v>505</v>
      </c>
      <c r="B23" s="1">
        <f t="shared" si="2"/>
        <v>1.3323344077030566</v>
      </c>
      <c r="C23">
        <f t="shared" si="0"/>
        <v>71.864181988107049</v>
      </c>
      <c r="D23" s="1">
        <f t="shared" si="3"/>
        <v>45.502037884935987</v>
      </c>
      <c r="F23" s="1">
        <f t="shared" si="1"/>
        <v>59.449159049314893</v>
      </c>
      <c r="G23" s="1">
        <f t="shared" si="4"/>
        <v>40.268328656621726</v>
      </c>
      <c r="I23">
        <f t="shared" si="5"/>
        <v>48.639111020907166</v>
      </c>
      <c r="L23" s="27">
        <v>45.502037884935987</v>
      </c>
      <c r="T23" s="27">
        <v>40.268328656621726</v>
      </c>
    </row>
    <row r="24" spans="1:22">
      <c r="A24" s="3">
        <v>510</v>
      </c>
      <c r="B24" s="1">
        <f t="shared" si="2"/>
        <v>1.3324502166549321</v>
      </c>
      <c r="C24">
        <f t="shared" si="0"/>
        <v>71.860446393288214</v>
      </c>
      <c r="D24" s="1">
        <f t="shared" si="3"/>
        <v>45.495725161193533</v>
      </c>
      <c r="F24" s="1">
        <f t="shared" si="1"/>
        <v>59.442427238994433</v>
      </c>
      <c r="G24" s="1">
        <f t="shared" si="4"/>
        <v>40.260744668730283</v>
      </c>
      <c r="I24">
        <f t="shared" si="5"/>
        <v>48.633455060480692</v>
      </c>
      <c r="M24" s="27">
        <v>45.495725161193533</v>
      </c>
      <c r="U24">
        <v>40.260744668730283</v>
      </c>
    </row>
    <row r="25" spans="1:22">
      <c r="A25" s="3">
        <v>515</v>
      </c>
      <c r="B25" s="1">
        <f t="shared" si="2"/>
        <v>1.3325672968384512</v>
      </c>
      <c r="C25">
        <f t="shared" si="0"/>
        <v>71.856670137453392</v>
      </c>
      <c r="D25" s="1">
        <f t="shared" si="3"/>
        <v>45.489344840296795</v>
      </c>
      <c r="F25" s="1">
        <f t="shared" si="1"/>
        <v>59.435621826109063</v>
      </c>
      <c r="G25" s="1">
        <f t="shared" si="4"/>
        <v>40.253079100874722</v>
      </c>
      <c r="I25">
        <f t="shared" si="5"/>
        <v>48.627738658342466</v>
      </c>
      <c r="M25" s="27">
        <v>45.489344840296795</v>
      </c>
      <c r="U25">
        <v>40.253079100874722</v>
      </c>
    </row>
    <row r="26" spans="1:22">
      <c r="A26" s="3">
        <v>520</v>
      </c>
      <c r="B26" s="1">
        <f t="shared" si="2"/>
        <v>1.332685652338071</v>
      </c>
      <c r="C26">
        <f t="shared" si="0"/>
        <v>71.852853099909126</v>
      </c>
      <c r="D26" s="1">
        <f t="shared" si="3"/>
        <v>45.482896754402702</v>
      </c>
      <c r="F26" s="1">
        <f t="shared" si="1"/>
        <v>59.42874258232721</v>
      </c>
      <c r="G26" s="1">
        <f t="shared" si="4"/>
        <v>40.245331739341935</v>
      </c>
      <c r="I26">
        <f t="shared" si="5"/>
        <v>48.621961668089682</v>
      </c>
      <c r="M26" s="27">
        <v>45.482896754402702</v>
      </c>
      <c r="U26">
        <v>40.245331739341935</v>
      </c>
    </row>
    <row r="27" spans="1:22">
      <c r="A27" s="3">
        <v>525</v>
      </c>
      <c r="B27" s="1">
        <f t="shared" si="2"/>
        <v>1.3328052872911653</v>
      </c>
      <c r="C27">
        <f t="shared" si="0"/>
        <v>71.848995158410901</v>
      </c>
      <c r="D27" s="1">
        <f t="shared" si="3"/>
        <v>45.476380733572483</v>
      </c>
      <c r="F27" s="1">
        <f t="shared" si="1"/>
        <v>59.421789276354765</v>
      </c>
      <c r="G27" s="1">
        <f t="shared" si="4"/>
        <v>40.237502367721063</v>
      </c>
      <c r="I27">
        <f t="shared" si="5"/>
        <v>48.616123941499907</v>
      </c>
      <c r="M27" s="27">
        <v>45.476380733572483</v>
      </c>
      <c r="U27">
        <v>40.237502367721063</v>
      </c>
    </row>
    <row r="28" spans="1:22">
      <c r="A28" s="4">
        <v>530</v>
      </c>
      <c r="B28" s="1">
        <f t="shared" si="2"/>
        <v>1.3329262058884568</v>
      </c>
      <c r="C28">
        <f t="shared" si="0"/>
        <v>71.845096189150908</v>
      </c>
      <c r="D28" s="1">
        <f t="shared" si="3"/>
        <v>45.469796605756706</v>
      </c>
      <c r="F28" s="1">
        <f t="shared" si="1"/>
        <v>59.414761673910739</v>
      </c>
      <c r="G28" s="1">
        <f t="shared" si="4"/>
        <v>40.22959076688344</v>
      </c>
      <c r="I28">
        <f t="shared" si="5"/>
        <v>48.610225328518247</v>
      </c>
      <c r="N28" s="27">
        <v>45.469796605756706</v>
      </c>
      <c r="V28" s="27">
        <v>40.22959076688344</v>
      </c>
    </row>
    <row r="29" spans="1:22">
      <c r="A29" s="4">
        <v>535</v>
      </c>
      <c r="B29" s="1">
        <f t="shared" si="2"/>
        <v>1.3330484123744548</v>
      </c>
      <c r="C29">
        <f t="shared" si="0"/>
        <v>71.841156066745427</v>
      </c>
      <c r="D29" s="1">
        <f t="shared" si="3"/>
        <v>45.4631441967801</v>
      </c>
      <c r="F29" s="1">
        <f t="shared" si="1"/>
        <v>59.407659537702465</v>
      </c>
      <c r="G29" s="1">
        <f t="shared" si="4"/>
        <v>40.221596714962125</v>
      </c>
      <c r="I29">
        <f t="shared" si="5"/>
        <v>48.604265677244541</v>
      </c>
      <c r="N29" s="27">
        <v>45.4631441967801</v>
      </c>
      <c r="V29" s="27">
        <v>40.221596714962125</v>
      </c>
    </row>
    <row r="30" spans="1:22">
      <c r="A30" s="4">
        <v>540</v>
      </c>
      <c r="B30" s="1">
        <f t="shared" si="2"/>
        <v>1.3331719110478999</v>
      </c>
      <c r="C30">
        <f t="shared" si="0"/>
        <v>71.837174664222346</v>
      </c>
      <c r="D30" s="1">
        <f t="shared" si="3"/>
        <v>45.456423330326245</v>
      </c>
      <c r="F30" s="1">
        <f t="shared" si="1"/>
        <v>59.400482627400635</v>
      </c>
      <c r="G30" s="1">
        <f t="shared" si="4"/>
        <v>40.213519987331303</v>
      </c>
      <c r="I30">
        <f t="shared" si="5"/>
        <v>48.598244833920177</v>
      </c>
      <c r="N30" s="27">
        <v>45.456423330326245</v>
      </c>
      <c r="V30" s="27">
        <v>40.213519987331303</v>
      </c>
    </row>
    <row r="31" spans="1:22">
      <c r="A31" s="4">
        <v>545</v>
      </c>
      <c r="B31" s="1">
        <f t="shared" si="2"/>
        <v>1.3332967062622172</v>
      </c>
      <c r="C31">
        <f t="shared" si="0"/>
        <v>71.833151853008019</v>
      </c>
      <c r="D31" s="1">
        <f t="shared" si="3"/>
        <v>45.4496338279219</v>
      </c>
      <c r="F31" s="1">
        <f t="shared" si="1"/>
        <v>59.393230699613781</v>
      </c>
      <c r="G31" s="1">
        <f t="shared" si="4"/>
        <v>40.205360356585196</v>
      </c>
      <c r="I31">
        <f t="shared" si="5"/>
        <v>48.592162642914758</v>
      </c>
      <c r="N31" s="27">
        <v>45.4496338279219</v>
      </c>
      <c r="V31" s="27">
        <v>40.205360356585196</v>
      </c>
    </row>
    <row r="32" spans="1:22">
      <c r="A32" s="4">
        <v>550</v>
      </c>
      <c r="B32" s="1">
        <f t="shared" si="2"/>
        <v>1.3334228024259756</v>
      </c>
      <c r="C32">
        <f t="shared" si="0"/>
        <v>71.829087502914319</v>
      </c>
      <c r="D32" s="1">
        <f t="shared" si="3"/>
        <v>45.442775508921088</v>
      </c>
      <c r="F32" s="1">
        <f t="shared" si="1"/>
        <v>59.385903507862182</v>
      </c>
      <c r="G32" s="1">
        <f t="shared" si="4"/>
        <v>40.197117592516733</v>
      </c>
      <c r="I32">
        <f t="shared" si="5"/>
        <v>48.586018946712635</v>
      </c>
      <c r="N32" s="27">
        <v>45.442775508921088</v>
      </c>
      <c r="V32" s="27">
        <v>40.197117592516733</v>
      </c>
    </row>
    <row r="33" spans="1:24">
      <c r="A33" s="4">
        <v>555</v>
      </c>
      <c r="B33" s="1">
        <f t="shared" si="2"/>
        <v>1.333550204003354</v>
      </c>
      <c r="C33">
        <f t="shared" si="0"/>
        <v>71.824981482125253</v>
      </c>
      <c r="D33" s="1">
        <f t="shared" si="3"/>
        <v>45.435848190489033</v>
      </c>
      <c r="F33" s="1">
        <f t="shared" si="1"/>
        <v>59.378500802551748</v>
      </c>
      <c r="G33" s="1">
        <f t="shared" si="4"/>
        <v>40.188791462095843</v>
      </c>
      <c r="I33">
        <f t="shared" si="5"/>
        <v>48.579813585899132</v>
      </c>
      <c r="N33" s="27">
        <v>45.435848190489033</v>
      </c>
      <c r="V33" s="27">
        <v>40.188791462095843</v>
      </c>
    </row>
    <row r="34" spans="1:24">
      <c r="A34" s="4">
        <v>560</v>
      </c>
      <c r="B34" s="1">
        <f t="shared" si="2"/>
        <v>1.3336789155146156</v>
      </c>
      <c r="C34">
        <f t="shared" si="0"/>
        <v>71.820833657183584</v>
      </c>
      <c r="D34" s="1">
        <f t="shared" si="3"/>
        <v>45.428851687585862</v>
      </c>
      <c r="F34" s="1">
        <f t="shared" si="1"/>
        <v>59.371022330947241</v>
      </c>
      <c r="G34" s="1">
        <f t="shared" si="4"/>
        <v>40.180381729447568</v>
      </c>
      <c r="I34">
        <f t="shared" si="5"/>
        <v>48.573546399146679</v>
      </c>
      <c r="N34" s="27">
        <v>45.428851687585862</v>
      </c>
      <c r="V34" s="27">
        <v>40.180381729447568</v>
      </c>
    </row>
    <row r="35" spans="1:24">
      <c r="A35" s="4">
        <v>565</v>
      </c>
      <c r="B35" s="1">
        <f t="shared" si="2"/>
        <v>1.3338089415365895</v>
      </c>
      <c r="C35">
        <f t="shared" ref="C35:C66" si="6">ASIN(SQRT((9 - B35^2)/8))*180/PI()</f>
        <v>71.816643892976856</v>
      </c>
      <c r="D35" s="1">
        <f t="shared" si="3"/>
        <v>45.421785812949885</v>
      </c>
      <c r="F35" s="1">
        <f t="shared" ref="F35:F66" si="7">ASIN(SQRT((4 - B35^2)/3))*180/PI()</f>
        <v>59.363467837144988</v>
      </c>
      <c r="G35" s="1">
        <f t="shared" si="4"/>
        <v>40.171888155829528</v>
      </c>
      <c r="I35">
        <f t="shared" si="5"/>
        <v>48.567217223200593</v>
      </c>
      <c r="N35" s="27">
        <v>45.421785812949885</v>
      </c>
      <c r="V35" s="27">
        <v>40.171888155829528</v>
      </c>
    </row>
    <row r="36" spans="1:24">
      <c r="A36" s="4">
        <v>570</v>
      </c>
      <c r="B36" s="1">
        <f t="shared" si="2"/>
        <v>1.3339402867031593</v>
      </c>
      <c r="C36">
        <f t="shared" si="6"/>
        <v>71.812412052723701</v>
      </c>
      <c r="D36" s="1">
        <f t="shared" si="3"/>
        <v>45.414650377080882</v>
      </c>
      <c r="F36" s="1">
        <f t="shared" si="7"/>
        <v>59.355837062045445</v>
      </c>
      <c r="G36" s="1">
        <f t="shared" si="4"/>
        <v>40.16331049960943</v>
      </c>
      <c r="I36">
        <f t="shared" si="5"/>
        <v>48.560825892864848</v>
      </c>
      <c r="N36" s="27">
        <v>45.414650377080882</v>
      </c>
      <c r="V36" s="27">
        <v>40.16331049960943</v>
      </c>
    </row>
    <row r="37" spans="1:24">
      <c r="A37" s="4">
        <v>575</v>
      </c>
      <c r="B37" s="1">
        <f t="shared" si="2"/>
        <v>1.3340729557057611</v>
      </c>
      <c r="C37">
        <f t="shared" si="6"/>
        <v>71.808137997959548</v>
      </c>
      <c r="D37" s="1">
        <f t="shared" si="3"/>
        <v>45.407445188222894</v>
      </c>
      <c r="F37" s="1">
        <f t="shared" si="7"/>
        <v>59.348129743325025</v>
      </c>
      <c r="G37" s="1">
        <f t="shared" si="4"/>
        <v>40.154648516241863</v>
      </c>
      <c r="I37">
        <f t="shared" si="5"/>
        <v>48.554372240987384</v>
      </c>
      <c r="N37" s="27">
        <v>45.407445188222894</v>
      </c>
      <c r="V37" s="27">
        <v>40.154648516241863</v>
      </c>
    </row>
    <row r="38" spans="1:24">
      <c r="A38" s="4">
        <v>580</v>
      </c>
      <c r="B38" s="1">
        <f t="shared" si="2"/>
        <v>1.3342069532938861</v>
      </c>
      <c r="C38">
        <f t="shared" si="6"/>
        <v>71.803821588522311</v>
      </c>
      <c r="D38" s="1">
        <f t="shared" si="3"/>
        <v>45.400170052346951</v>
      </c>
      <c r="F38" s="1">
        <f t="shared" si="7"/>
        <v>59.340345615407692</v>
      </c>
      <c r="G38" s="1">
        <f t="shared" si="4"/>
        <v>40.145901958245041</v>
      </c>
      <c r="I38">
        <f t="shared" si="5"/>
        <v>48.547856098445429</v>
      </c>
      <c r="N38" s="27">
        <v>45.400170052346951</v>
      </c>
      <c r="V38" s="27">
        <v>40.145901958245041</v>
      </c>
    </row>
    <row r="39" spans="1:24">
      <c r="A39" s="4">
        <v>585</v>
      </c>
      <c r="B39" s="1">
        <f t="shared" si="2"/>
        <v>1.3343422842755945</v>
      </c>
      <c r="C39">
        <f t="shared" si="6"/>
        <v>71.799462682537722</v>
      </c>
      <c r="D39" s="1">
        <f t="shared" si="3"/>
        <v>45.392824773133455</v>
      </c>
      <c r="F39" s="1">
        <f t="shared" si="7"/>
        <v>59.332484409436091</v>
      </c>
      <c r="G39" s="1">
        <f t="shared" si="4"/>
        <v>40.137070575176999</v>
      </c>
      <c r="I39">
        <f t="shared" si="5"/>
        <v>48.541277294130467</v>
      </c>
      <c r="N39" s="27">
        <v>45.392824773133455</v>
      </c>
      <c r="V39" s="27">
        <v>40.137070575176999</v>
      </c>
    </row>
    <row r="40" spans="1:24">
      <c r="A40" s="4">
        <v>590</v>
      </c>
      <c r="B40" s="1">
        <f t="shared" si="2"/>
        <v>1.3344789535180352</v>
      </c>
      <c r="C40">
        <f t="shared" si="6"/>
        <v>71.795061136404541</v>
      </c>
      <c r="D40" s="1">
        <f t="shared" si="3"/>
        <v>45.385409151954235</v>
      </c>
      <c r="F40" s="1">
        <f t="shared" si="7"/>
        <v>59.324545853242029</v>
      </c>
      <c r="G40" s="1">
        <f t="shared" si="4"/>
        <v>40.128154113611501</v>
      </c>
      <c r="I40">
        <f t="shared" si="5"/>
        <v>48.534635654932998</v>
      </c>
      <c r="N40" s="27">
        <v>45.385409151954235</v>
      </c>
      <c r="V40" s="27">
        <v>40.128154113611501</v>
      </c>
    </row>
    <row r="41" spans="1:24">
      <c r="A41" s="4">
        <v>595</v>
      </c>
      <c r="B41" s="1">
        <f t="shared" si="2"/>
        <v>1.3346169659479752</v>
      </c>
      <c r="C41">
        <f t="shared" si="6"/>
        <v>71.790616804779489</v>
      </c>
      <c r="D41" s="1">
        <f t="shared" si="3"/>
        <v>45.377922987854426</v>
      </c>
      <c r="F41" s="1">
        <f t="shared" si="7"/>
        <v>59.316529671316751</v>
      </c>
      <c r="G41" s="1">
        <f t="shared" si="4"/>
        <v>40.11915231711356</v>
      </c>
      <c r="I41">
        <f t="shared" si="5"/>
        <v>48.52793100572714</v>
      </c>
      <c r="N41" s="27">
        <v>45.377922987854426</v>
      </c>
      <c r="V41" s="27">
        <v>40.11915231711356</v>
      </c>
    </row>
    <row r="42" spans="1:24">
      <c r="A42" s="5">
        <v>600</v>
      </c>
      <c r="B42" s="1">
        <f t="shared" si="2"/>
        <v>1.334756326552335</v>
      </c>
      <c r="C42">
        <f t="shared" si="6"/>
        <v>71.786129540561987</v>
      </c>
      <c r="D42" s="1">
        <f t="shared" si="3"/>
        <v>45.370366077534136</v>
      </c>
      <c r="F42" s="1">
        <f t="shared" si="7"/>
        <v>59.308435584780526</v>
      </c>
      <c r="G42" s="1">
        <f t="shared" si="4"/>
        <v>40.110064926214598</v>
      </c>
      <c r="I42">
        <f t="shared" si="5"/>
        <v>48.521163169354899</v>
      </c>
      <c r="O42" s="27">
        <v>45.370366077534136</v>
      </c>
      <c r="W42" s="27">
        <v>40.110064926214598</v>
      </c>
    </row>
    <row r="43" spans="1:24">
      <c r="A43" s="5">
        <v>605</v>
      </c>
      <c r="B43" s="1">
        <f t="shared" si="2"/>
        <v>1.3348970403787355</v>
      </c>
      <c r="C43">
        <f t="shared" si="6"/>
        <v>71.781599194878581</v>
      </c>
      <c r="D43" s="1">
        <f t="shared" si="3"/>
        <v>45.362738215329657</v>
      </c>
      <c r="F43" s="1">
        <f t="shared" si="7"/>
        <v>59.300263311351934</v>
      </c>
      <c r="G43" s="1">
        <f t="shared" si="4"/>
        <v>40.100891678387249</v>
      </c>
      <c r="I43">
        <f t="shared" si="5"/>
        <v>48.514331966610335</v>
      </c>
      <c r="O43" s="27">
        <v>45.362738215329657</v>
      </c>
      <c r="W43" s="27">
        <v>40.100891678387249</v>
      </c>
    </row>
    <row r="44" spans="1:24">
      <c r="A44" s="5">
        <v>610</v>
      </c>
      <c r="B44" s="1">
        <f t="shared" si="2"/>
        <v>1.3350391125360501</v>
      </c>
      <c r="C44">
        <f t="shared" si="6"/>
        <v>71.777025617067125</v>
      </c>
      <c r="D44" s="1">
        <f t="shared" si="3"/>
        <v>45.355039193194514</v>
      </c>
      <c r="F44" s="1">
        <f t="shared" si="7"/>
        <v>59.29201256531654</v>
      </c>
      <c r="G44" s="1">
        <f t="shared" si="4"/>
        <v>40.091632308019726</v>
      </c>
      <c r="I44">
        <f t="shared" si="5"/>
        <v>48.507437216223344</v>
      </c>
      <c r="O44" s="27">
        <v>45.355039193194514</v>
      </c>
      <c r="W44" s="27">
        <v>40.091632308019726</v>
      </c>
    </row>
    <row r="45" spans="1:24">
      <c r="A45" s="5">
        <v>615</v>
      </c>
      <c r="B45" s="1">
        <f t="shared" si="2"/>
        <v>1.3351825481949682</v>
      </c>
      <c r="C45">
        <f t="shared" si="6"/>
        <v>71.772408654660964</v>
      </c>
      <c r="D45" s="1">
        <f t="shared" si="3"/>
        <v>45.347268800680304</v>
      </c>
      <c r="F45" s="1">
        <f t="shared" si="7"/>
        <v>59.283683057495168</v>
      </c>
      <c r="G45" s="1">
        <f t="shared" si="4"/>
        <v>40.082286546389881</v>
      </c>
      <c r="I45">
        <f t="shared" si="5"/>
        <v>48.500478734843355</v>
      </c>
      <c r="O45" s="27">
        <v>45.347268800680304</v>
      </c>
      <c r="W45" s="27">
        <v>40.082286546389881</v>
      </c>
    </row>
    <row r="46" spans="1:24">
      <c r="A46" s="6">
        <v>620</v>
      </c>
      <c r="B46" s="1">
        <f t="shared" si="2"/>
        <v>1.3353273525885656</v>
      </c>
      <c r="C46">
        <f t="shared" si="6"/>
        <v>71.767748153372452</v>
      </c>
      <c r="D46" s="1">
        <f t="shared" si="3"/>
        <v>45.339426824917055</v>
      </c>
      <c r="F46" s="1">
        <f t="shared" si="7"/>
        <v>59.275274495211562</v>
      </c>
      <c r="G46" s="1">
        <f t="shared" si="4"/>
        <v>40.072854121638727</v>
      </c>
      <c r="I46">
        <f t="shared" si="5"/>
        <v>48.49345633702265</v>
      </c>
      <c r="P46" s="27">
        <v>45.339426824917055</v>
      </c>
      <c r="X46" s="27">
        <v>40.072854121638727</v>
      </c>
    </row>
    <row r="47" spans="1:24">
      <c r="A47" s="6">
        <v>625</v>
      </c>
      <c r="B47" s="1">
        <f t="shared" si="2"/>
        <v>1.3354735310128851</v>
      </c>
      <c r="C47">
        <f t="shared" si="6"/>
        <v>71.763043957076533</v>
      </c>
      <c r="D47" s="1">
        <f t="shared" si="3"/>
        <v>45.331513050593408</v>
      </c>
      <c r="F47" s="1">
        <f t="shared" si="7"/>
        <v>59.266786582259648</v>
      </c>
      <c r="G47" s="1">
        <f t="shared" si="4"/>
        <v>40.063334758743729</v>
      </c>
      <c r="I47">
        <f t="shared" si="5"/>
        <v>48.48636983519954</v>
      </c>
      <c r="P47" s="27">
        <v>45.331513050593408</v>
      </c>
      <c r="X47" s="27">
        <v>40.063334758743729</v>
      </c>
    </row>
    <row r="48" spans="1:24">
      <c r="A48" s="6">
        <v>630</v>
      </c>
      <c r="B48" s="1">
        <f t="shared" si="2"/>
        <v>1.3356210888275242</v>
      </c>
      <c r="C48">
        <f t="shared" si="6"/>
        <v>71.758295907793979</v>
      </c>
      <c r="D48" s="1">
        <f t="shared" si="3"/>
        <v>45.323527259936647</v>
      </c>
      <c r="F48" s="1">
        <f t="shared" si="7"/>
        <v>59.258219018870278</v>
      </c>
      <c r="G48" s="1">
        <f t="shared" si="4"/>
        <v>40.053728179491628</v>
      </c>
      <c r="I48">
        <f t="shared" si="5"/>
        <v>48.479219039681254</v>
      </c>
      <c r="P48" s="27">
        <v>45.323527259936647</v>
      </c>
      <c r="X48" s="27">
        <v>40.053728179491628</v>
      </c>
    </row>
    <row r="49" spans="1:25">
      <c r="A49" s="6">
        <v>635</v>
      </c>
      <c r="B49" s="1">
        <f t="shared" si="2"/>
        <v>1.3357700314562346</v>
      </c>
      <c r="C49">
        <f t="shared" si="6"/>
        <v>71.753503845674388</v>
      </c>
      <c r="D49" s="1">
        <f t="shared" si="3"/>
        <v>45.315469232692088</v>
      </c>
      <c r="F49" s="1">
        <f t="shared" si="7"/>
        <v>59.249571501677408</v>
      </c>
      <c r="G49" s="1">
        <f t="shared" si="4"/>
        <v>40.04403410245083</v>
      </c>
      <c r="I49">
        <f t="shared" si="5"/>
        <v>48.472003758626556</v>
      </c>
      <c r="P49" s="27">
        <v>45.315469232692088</v>
      </c>
      <c r="X49" s="27">
        <v>40.04403410245083</v>
      </c>
    </row>
    <row r="50" spans="1:25">
      <c r="A50" s="6">
        <v>640</v>
      </c>
      <c r="B50" s="1">
        <f t="shared" si="2"/>
        <v>1.3359203643875295</v>
      </c>
      <c r="C50">
        <f t="shared" si="6"/>
        <v>71.748667608978792</v>
      </c>
      <c r="D50" s="1">
        <f t="shared" si="3"/>
        <v>45.307338746102474</v>
      </c>
      <c r="F50" s="1">
        <f t="shared" si="7"/>
        <v>59.240843723683618</v>
      </c>
      <c r="G50" s="1">
        <f t="shared" si="4"/>
        <v>40.034252242943317</v>
      </c>
      <c r="I50">
        <f t="shared" si="5"/>
        <v>48.464723798028132</v>
      </c>
      <c r="P50" s="27">
        <v>45.307338746102474</v>
      </c>
      <c r="X50" s="27">
        <v>40.034252242943317</v>
      </c>
    </row>
    <row r="51" spans="1:25">
      <c r="A51" s="6">
        <v>645</v>
      </c>
      <c r="B51" s="1">
        <f t="shared" si="2"/>
        <v>1.3360720931752998</v>
      </c>
      <c r="C51">
        <f t="shared" si="6"/>
        <v>71.743787034062223</v>
      </c>
      <c r="D51" s="1">
        <f t="shared" si="3"/>
        <v>45.299135574886904</v>
      </c>
      <c r="F51" s="1">
        <f t="shared" si="7"/>
        <v>59.232035374225418</v>
      </c>
      <c r="G51" s="1">
        <f t="shared" si="4"/>
        <v>40.024382313016254</v>
      </c>
      <c r="I51">
        <f t="shared" si="5"/>
        <v>48.457378961694715</v>
      </c>
      <c r="P51" s="27">
        <v>45.299135574886904</v>
      </c>
      <c r="X51" s="27">
        <v>40.024382313016254</v>
      </c>
    </row>
    <row r="52" spans="1:25">
      <c r="A52" s="6">
        <v>650</v>
      </c>
      <c r="B52" s="1">
        <f t="shared" si="2"/>
        <v>1.3362252234394405</v>
      </c>
      <c r="C52">
        <f t="shared" si="6"/>
        <v>71.738861955355816</v>
      </c>
      <c r="D52" s="1">
        <f t="shared" si="3"/>
        <v>45.290859491219592</v>
      </c>
      <c r="F52" s="1">
        <f t="shared" si="7"/>
        <v>59.223146138937736</v>
      </c>
      <c r="G52" s="1">
        <f t="shared" si="4"/>
        <v>40.01442402141322</v>
      </c>
      <c r="I52">
        <f t="shared" si="5"/>
        <v>48.449969051233005</v>
      </c>
      <c r="P52" s="27">
        <v>45.290859491219592</v>
      </c>
      <c r="X52" s="27">
        <v>40.01442402141322</v>
      </c>
    </row>
    <row r="53" spans="1:25">
      <c r="A53" s="6">
        <v>655</v>
      </c>
      <c r="B53" s="1">
        <f t="shared" si="2"/>
        <v>1.3363797608664882</v>
      </c>
      <c r="C53">
        <f t="shared" si="6"/>
        <v>71.733892205348724</v>
      </c>
      <c r="D53" s="1">
        <f t="shared" si="3"/>
        <v>45.282510264708073</v>
      </c>
      <c r="F53" s="1">
        <f t="shared" si="7"/>
        <v>59.21417569971787</v>
      </c>
      <c r="G53" s="1">
        <f t="shared" si="4"/>
        <v>40.00437707354471</v>
      </c>
      <c r="I53">
        <f t="shared" si="5"/>
        <v>48.442493866029132</v>
      </c>
      <c r="P53" s="27">
        <v>45.282510264708073</v>
      </c>
      <c r="X53" s="27">
        <v>40.00437707354471</v>
      </c>
    </row>
    <row r="54" spans="1:25">
      <c r="A54" s="6">
        <v>660</v>
      </c>
      <c r="B54" s="1">
        <f t="shared" si="2"/>
        <v>1.3365357112102656</v>
      </c>
      <c r="C54">
        <f t="shared" si="6"/>
        <v>71.728877614569711</v>
      </c>
      <c r="D54" s="1">
        <f t="shared" si="3"/>
        <v>45.274087662371329</v>
      </c>
      <c r="F54" s="1">
        <f t="shared" si="7"/>
        <v>59.205123734689018</v>
      </c>
      <c r="G54" s="1">
        <f t="shared" si="4"/>
        <v>39.994241171458583</v>
      </c>
      <c r="I54">
        <f t="shared" si="5"/>
        <v>48.434953203230158</v>
      </c>
      <c r="P54" s="27">
        <v>45.274087662371329</v>
      </c>
      <c r="X54" s="27">
        <v>39.994241171458583</v>
      </c>
    </row>
    <row r="55" spans="1:25">
      <c r="A55" s="6">
        <v>665</v>
      </c>
      <c r="B55" s="1">
        <f t="shared" si="2"/>
        <v>1.3366930802925385</v>
      </c>
      <c r="C55">
        <f t="shared" si="6"/>
        <v>71.723818011568525</v>
      </c>
      <c r="D55" s="1">
        <f t="shared" si="3"/>
        <v>45.265591448617492</v>
      </c>
      <c r="F55" s="1">
        <f t="shared" si="7"/>
        <v>59.195989918163143</v>
      </c>
      <c r="G55" s="1">
        <f t="shared" si="4"/>
        <v>39.984016013809715</v>
      </c>
      <c r="I55">
        <f t="shared" si="5"/>
        <v>48.42734685772497</v>
      </c>
      <c r="P55" s="27">
        <v>45.265591448617492</v>
      </c>
      <c r="X55" s="27">
        <v>39.984016013809715</v>
      </c>
    </row>
    <row r="56" spans="1:25">
      <c r="A56" s="6">
        <v>670</v>
      </c>
      <c r="B56" s="1">
        <f t="shared" si="2"/>
        <v>1.3368518740036828</v>
      </c>
      <c r="C56">
        <f t="shared" si="6"/>
        <v>71.718713222896881</v>
      </c>
      <c r="D56" s="1">
        <f t="shared" si="3"/>
        <v>45.257021385221151</v>
      </c>
      <c r="F56" s="1">
        <f t="shared" si="7"/>
        <v>59.186773920603137</v>
      </c>
      <c r="G56" s="1">
        <f t="shared" si="4"/>
        <v>39.973701295829379</v>
      </c>
      <c r="I56">
        <f t="shared" si="5"/>
        <v>48.419674622125136</v>
      </c>
      <c r="P56" s="27">
        <v>45.257021385221151</v>
      </c>
      <c r="X56" s="27">
        <v>39.973701295829379</v>
      </c>
    </row>
    <row r="57" spans="1:25">
      <c r="A57" s="6">
        <v>675</v>
      </c>
      <c r="B57" s="1">
        <f t="shared" si="2"/>
        <v>1.3370120983033595</v>
      </c>
      <c r="C57">
        <f t="shared" si="6"/>
        <v>71.713563073089347</v>
      </c>
      <c r="D57" s="1">
        <f t="shared" si="3"/>
        <v>45.248377231300523</v>
      </c>
      <c r="F57" s="1">
        <f t="shared" si="7"/>
        <v>59.177475408584719</v>
      </c>
      <c r="G57" s="1">
        <f t="shared" si="4"/>
        <v>39.96329670929422</v>
      </c>
      <c r="I57">
        <f t="shared" si="5"/>
        <v>48.41193628674543</v>
      </c>
      <c r="P57" s="27">
        <v>45.248377231300523</v>
      </c>
      <c r="X57" s="27">
        <v>39.96329670929422</v>
      </c>
    </row>
    <row r="58" spans="1:25">
      <c r="A58" s="7">
        <v>680</v>
      </c>
      <c r="B58" s="1">
        <f t="shared" si="2"/>
        <v>1.3371737592212039</v>
      </c>
      <c r="C58">
        <f t="shared" si="6"/>
        <v>71.708367384643623</v>
      </c>
      <c r="D58" s="1">
        <f t="shared" si="3"/>
        <v>45.239658743294008</v>
      </c>
      <c r="F58" s="1">
        <f t="shared" si="7"/>
        <v>59.16809404475736</v>
      </c>
      <c r="G58" s="1">
        <f t="shared" si="4"/>
        <v>39.952801942494553</v>
      </c>
      <c r="I58">
        <f t="shared" si="5"/>
        <v>48.404131639583937</v>
      </c>
      <c r="Q58" s="27">
        <v>45.239658743294008</v>
      </c>
      <c r="Y58" s="27">
        <v>39.952801942494553</v>
      </c>
    </row>
    <row r="59" spans="1:25">
      <c r="A59" s="7">
        <v>685</v>
      </c>
      <c r="B59" s="1">
        <f t="shared" si="2"/>
        <v>1.3373368628575217</v>
      </c>
      <c r="C59">
        <f t="shared" si="6"/>
        <v>71.703125978000898</v>
      </c>
      <c r="D59" s="1">
        <f t="shared" si="3"/>
        <v>45.230865674936666</v>
      </c>
      <c r="F59" s="1">
        <f t="shared" si="7"/>
        <v>59.158629487804795</v>
      </c>
      <c r="G59" s="1">
        <f t="shared" si="4"/>
        <v>39.942216680202392</v>
      </c>
      <c r="I59">
        <f t="shared" si="5"/>
        <v>48.396260466302095</v>
      </c>
      <c r="Q59" s="27">
        <v>45.230865674936666</v>
      </c>
      <c r="Y59" s="27">
        <v>39.942216680202392</v>
      </c>
    </row>
    <row r="60" spans="1:25">
      <c r="A60" s="7">
        <v>690</v>
      </c>
      <c r="B60" s="1">
        <f t="shared" si="2"/>
        <v>1.3375014153839995</v>
      </c>
      <c r="C60">
        <f t="shared" si="6"/>
        <v>71.697838671525417</v>
      </c>
      <c r="D60" s="1">
        <f t="shared" si="3"/>
        <v>45.221997777236126</v>
      </c>
      <c r="F60" s="1">
        <f t="shared" si="7"/>
        <v>59.149081392404973</v>
      </c>
      <c r="G60" s="1">
        <f t="shared" si="4"/>
        <v>39.931540603638823</v>
      </c>
      <c r="I60">
        <f t="shared" si="5"/>
        <v>48.388322550204229</v>
      </c>
      <c r="Q60" s="27">
        <v>45.221997777236126</v>
      </c>
      <c r="Y60" s="27">
        <v>39.931540603638823</v>
      </c>
    </row>
    <row r="61" spans="1:25">
      <c r="A61" s="7">
        <v>695</v>
      </c>
      <c r="B61" s="1">
        <f t="shared" si="2"/>
        <v>1.3376674230444234</v>
      </c>
      <c r="C61">
        <f t="shared" si="6"/>
        <v>71.69250528148433</v>
      </c>
      <c r="D61" s="1">
        <f t="shared" si="3"/>
        <v>45.213054798448375</v>
      </c>
      <c r="F61" s="1">
        <f t="shared" si="7"/>
        <v>59.139449409189126</v>
      </c>
      <c r="G61" s="1">
        <f t="shared" si="4"/>
        <v>39.920773390441006</v>
      </c>
      <c r="I61">
        <f t="shared" si="5"/>
        <v>48.380317672216911</v>
      </c>
      <c r="Q61" s="27">
        <v>45.213054798448375</v>
      </c>
      <c r="Y61" s="27">
        <v>39.920773390441006</v>
      </c>
    </row>
    <row r="62" spans="1:25">
      <c r="A62" s="7">
        <v>700</v>
      </c>
      <c r="B62" s="1">
        <f t="shared" si="2"/>
        <v>1.3378348921554106</v>
      </c>
      <c r="C62">
        <f t="shared" si="6"/>
        <v>71.687125622026699</v>
      </c>
      <c r="D62" s="1">
        <f t="shared" si="3"/>
        <v>45.204036484052907</v>
      </c>
      <c r="F62" s="1">
        <f t="shared" si="7"/>
        <v>59.129733184700527</v>
      </c>
      <c r="G62" s="1">
        <f t="shared" si="4"/>
        <v>39.909914714628698</v>
      </c>
      <c r="I62">
        <f t="shared" si="5"/>
        <v>48.372245610868006</v>
      </c>
      <c r="Q62" s="27">
        <v>45.204036484052907</v>
      </c>
      <c r="Y62" s="27">
        <v>39.909914714628698</v>
      </c>
    </row>
    <row r="63" spans="1:25">
      <c r="A63" s="7">
        <v>705</v>
      </c>
      <c r="B63" s="1">
        <f t="shared" si="2"/>
        <v>1.3380038291071525</v>
      </c>
      <c r="C63">
        <f t="shared" si="6"/>
        <v>71.681699505162427</v>
      </c>
      <c r="D63" s="1">
        <f t="shared" si="3"/>
        <v>45.194942576727719</v>
      </c>
      <c r="F63" s="1">
        <f t="shared" si="7"/>
        <v>59.119932361352205</v>
      </c>
      <c r="G63" s="1">
        <f t="shared" si="4"/>
        <v>39.898964246570038</v>
      </c>
      <c r="I63">
        <f t="shared" si="5"/>
        <v>48.364106142265335</v>
      </c>
      <c r="Q63" s="27">
        <v>45.194942576727719</v>
      </c>
      <c r="Y63" s="27">
        <v>39.898964246570038</v>
      </c>
    </row>
    <row r="64" spans="1:25">
      <c r="A64" s="7">
        <v>710</v>
      </c>
      <c r="B64" s="1">
        <f t="shared" si="2"/>
        <v>1.3381742403641677</v>
      </c>
      <c r="C64">
        <f t="shared" si="6"/>
        <v>71.676226740740915</v>
      </c>
      <c r="D64" s="1">
        <f t="shared" si="3"/>
        <v>45.185772816323919</v>
      </c>
      <c r="F64" s="1">
        <f t="shared" si="7"/>
        <v>59.110046577384409</v>
      </c>
      <c r="G64" s="1">
        <f t="shared" si="4"/>
        <v>39.887921652947156</v>
      </c>
      <c r="I64">
        <f t="shared" si="5"/>
        <v>48.355899040075137</v>
      </c>
      <c r="Q64" s="27">
        <v>45.185772816323919</v>
      </c>
      <c r="Y64" s="27">
        <v>39.887921652947156</v>
      </c>
    </row>
    <row r="65" spans="1:25">
      <c r="A65" s="7">
        <v>715</v>
      </c>
      <c r="B65" s="1">
        <f t="shared" si="2"/>
        <v>1.3383461324660677</v>
      </c>
      <c r="C65">
        <f t="shared" si="6"/>
        <v>71.670707136429257</v>
      </c>
      <c r="D65" s="1">
        <f t="shared" si="3"/>
        <v>45.176526939839846</v>
      </c>
      <c r="F65" s="1">
        <f t="shared" si="7"/>
        <v>59.100075466821146</v>
      </c>
      <c r="G65" s="1">
        <f t="shared" si="4"/>
        <v>39.87678659672104</v>
      </c>
      <c r="I65">
        <f t="shared" si="5"/>
        <v>48.34762407550015</v>
      </c>
      <c r="Q65" s="27">
        <v>45.176526939839846</v>
      </c>
      <c r="Y65" s="27">
        <v>39.87678659672104</v>
      </c>
    </row>
    <row r="66" spans="1:25">
      <c r="A66" s="7">
        <v>720</v>
      </c>
      <c r="B66" s="1">
        <f t="shared" si="2"/>
        <v>1.3385195120283366</v>
      </c>
      <c r="C66">
        <f t="shared" si="6"/>
        <v>71.665140497690018</v>
      </c>
      <c r="D66" s="1">
        <f t="shared" si="3"/>
        <v>45.167204681394857</v>
      </c>
      <c r="F66" s="1">
        <f t="shared" si="7"/>
        <v>59.090018659425937</v>
      </c>
      <c r="G66" s="1">
        <f t="shared" si="4"/>
        <v>39.865558737095853</v>
      </c>
      <c r="I66">
        <f t="shared" si="5"/>
        <v>48.339281017257314</v>
      </c>
      <c r="Q66" s="27">
        <v>45.167204681394857</v>
      </c>
      <c r="Y66" s="27">
        <v>39.865558737095853</v>
      </c>
    </row>
    <row r="67" spans="1:25">
      <c r="A67" s="7">
        <v>725</v>
      </c>
      <c r="B67" s="1">
        <f t="shared" si="2"/>
        <v>1.3386943857431193</v>
      </c>
      <c r="C67">
        <f t="shared" ref="C67:C80" si="8">ASIN(SQRT((9 - B67^2)/8))*180/PI()</f>
        <v>71.65952662775905</v>
      </c>
      <c r="D67" s="1">
        <f t="shared" si="3"/>
        <v>45.157805772202849</v>
      </c>
      <c r="F67" s="1">
        <f t="shared" ref="F67:F80" si="9">ASIN(SQRT((4 - B67^2)/3))*180/PI()</f>
        <v>59.07987578065719</v>
      </c>
      <c r="G67" s="1">
        <f t="shared" si="4"/>
        <v>39.85423772948284</v>
      </c>
      <c r="I67">
        <f t="shared" si="5"/>
        <v>48.330869631555295</v>
      </c>
      <c r="Q67" s="27">
        <v>45.157805772202849</v>
      </c>
      <c r="Y67" s="27">
        <v>39.85423772948284</v>
      </c>
    </row>
    <row r="68" spans="1:25">
      <c r="A68" s="7">
        <v>730</v>
      </c>
      <c r="B68" s="1">
        <f t="shared" ref="B68:B80" si="10" xml:space="preserve"> SQRT(1 + 1/SQRT(1.731 - 0.261*(A68/1000)^2))</f>
        <v>1.3388707603800236</v>
      </c>
      <c r="C68">
        <f t="shared" si="8"/>
        <v>71.653865327622455</v>
      </c>
      <c r="D68" s="1">
        <f t="shared" ref="D68:D80" si="11">ASIN(SIN(C68*PI()/180)/B68)*180/PI()</f>
        <v>45.148329940545125</v>
      </c>
      <c r="F68" s="1">
        <f t="shared" si="9"/>
        <v>59.069646451622674</v>
      </c>
      <c r="G68" s="1">
        <f t="shared" ref="G68:G80" si="12">ASIN(SIN(F68*PI()/180)/B68)*180/PI()</f>
        <v>39.842823225463675</v>
      </c>
      <c r="I68">
        <f t="shared" ref="I68:I80" si="13">DEGREES(ASIN(1/B68))</f>
        <v>48.322389682071581</v>
      </c>
      <c r="Q68" s="27">
        <v>45.148329940545125</v>
      </c>
      <c r="Y68" s="27">
        <v>39.842823225463675</v>
      </c>
    </row>
    <row r="69" spans="1:25">
      <c r="A69" s="7">
        <v>735</v>
      </c>
      <c r="B69" s="1">
        <f t="shared" si="10"/>
        <v>1.3390486427869375</v>
      </c>
      <c r="C69">
        <f t="shared" si="8"/>
        <v>71.648156395993524</v>
      </c>
      <c r="D69" s="1">
        <f t="shared" si="11"/>
        <v>45.138776911743115</v>
      </c>
      <c r="F69" s="1">
        <f t="shared" si="9"/>
        <v>59.059330289033184</v>
      </c>
      <c r="G69" s="1">
        <f t="shared" si="12"/>
        <v>39.831314872753026</v>
      </c>
      <c r="I69">
        <f t="shared" si="13"/>
        <v>48.313840929929214</v>
      </c>
      <c r="Q69" s="27">
        <v>45.138776911743115</v>
      </c>
      <c r="Y69" s="27">
        <v>39.831314872753026</v>
      </c>
    </row>
    <row r="70" spans="1:25">
      <c r="A70" s="7">
        <v>740</v>
      </c>
      <c r="B70" s="1">
        <f t="shared" si="10"/>
        <v>1.339228039890854</v>
      </c>
      <c r="C70">
        <f t="shared" si="8"/>
        <v>71.642399629289287</v>
      </c>
      <c r="D70" s="1">
        <f t="shared" si="11"/>
        <v>45.129146408130637</v>
      </c>
      <c r="F70" s="1">
        <f t="shared" si="9"/>
        <v>59.048926905155668</v>
      </c>
      <c r="G70" s="1">
        <f t="shared" si="12"/>
        <v>39.819712315160885</v>
      </c>
      <c r="I70">
        <f t="shared" si="13"/>
        <v>48.305223133673238</v>
      </c>
      <c r="Q70" s="27">
        <v>45.129146408130637</v>
      </c>
      <c r="Y70" s="27">
        <v>39.819712315160885</v>
      </c>
    </row>
    <row r="71" spans="1:25">
      <c r="A71" s="7">
        <v>745</v>
      </c>
      <c r="B71" s="1">
        <f t="shared" si="10"/>
        <v>1.3394089586987137</v>
      </c>
      <c r="C71">
        <f t="shared" si="8"/>
        <v>71.636594821606579</v>
      </c>
      <c r="D71" s="1">
        <f t="shared" si="11"/>
        <v>45.119438149025548</v>
      </c>
      <c r="F71" s="1">
        <f t="shared" si="9"/>
        <v>59.038435907765496</v>
      </c>
      <c r="G71" s="1">
        <f t="shared" si="12"/>
        <v>39.808015192554144</v>
      </c>
      <c r="I71">
        <f t="shared" si="13"/>
        <v>48.296536049246832</v>
      </c>
      <c r="Q71" s="27">
        <v>45.119438149025548</v>
      </c>
      <c r="Y71" s="27">
        <v>39.808015192554144</v>
      </c>
    </row>
    <row r="72" spans="1:25">
      <c r="A72" s="7">
        <v>750</v>
      </c>
      <c r="B72" s="1">
        <f t="shared" si="10"/>
        <v>1.3395914062982586</v>
      </c>
      <c r="C72">
        <f t="shared" si="8"/>
        <v>71.630741764697817</v>
      </c>
      <c r="D72" s="1">
        <f t="shared" si="11"/>
        <v>45.109651850701241</v>
      </c>
      <c r="F72" s="1">
        <f t="shared" si="9"/>
        <v>59.027856900098008</v>
      </c>
      <c r="G72" s="1">
        <f t="shared" si="12"/>
        <v>39.796223140817517</v>
      </c>
      <c r="I72">
        <f t="shared" si="13"/>
        <v>48.287779429966974</v>
      </c>
      <c r="Q72" s="27">
        <v>45.109651850701241</v>
      </c>
      <c r="Y72" s="27">
        <v>39.796223140817517</v>
      </c>
    </row>
    <row r="73" spans="1:25">
      <c r="A73" s="7">
        <v>755</v>
      </c>
      <c r="B73" s="1">
        <f t="shared" si="10"/>
        <v>1.3397753898588982</v>
      </c>
      <c r="C73">
        <f t="shared" si="8"/>
        <v>71.624840247946295</v>
      </c>
      <c r="D73" s="1">
        <f t="shared" si="11"/>
        <v>45.099787226357556</v>
      </c>
      <c r="F73" s="1">
        <f t="shared" si="9"/>
        <v>59.01718948079921</v>
      </c>
      <c r="G73" s="1">
        <f t="shared" si="12"/>
        <v>39.784335791814037</v>
      </c>
      <c r="I73">
        <f t="shared" si="13"/>
        <v>48.278953026499906</v>
      </c>
      <c r="Q73" s="27">
        <v>45.099787226357556</v>
      </c>
      <c r="Y73" s="27">
        <v>39.784335791814037</v>
      </c>
    </row>
    <row r="74" spans="1:25">
      <c r="A74" s="7">
        <v>760</v>
      </c>
      <c r="B74" s="1">
        <f t="shared" si="10"/>
        <v>1.3399609166325919</v>
      </c>
      <c r="C74">
        <f t="shared" si="8"/>
        <v>71.618890058341421</v>
      </c>
      <c r="D74" s="1">
        <f t="shared" si="11"/>
        <v>45.089843986091402</v>
      </c>
      <c r="F74" s="1">
        <f t="shared" si="9"/>
        <v>59.006433243875861</v>
      </c>
      <c r="G74" s="1">
        <f t="shared" si="12"/>
        <v>39.772352773344878</v>
      </c>
      <c r="I74">
        <f t="shared" si="13"/>
        <v>48.270056586836048</v>
      </c>
      <c r="Q74" s="27">
        <v>45.089843986091402</v>
      </c>
      <c r="Y74" s="27">
        <v>39.772352773344878</v>
      </c>
    </row>
    <row r="75" spans="1:25">
      <c r="A75" s="7">
        <v>765</v>
      </c>
      <c r="B75" s="1">
        <f t="shared" si="10"/>
        <v>1.3401479939547434</v>
      </c>
      <c r="C75">
        <f t="shared" si="8"/>
        <v>71.612890980452946</v>
      </c>
      <c r="D75" s="1">
        <f t="shared" si="11"/>
        <v>45.079821836866657</v>
      </c>
      <c r="F75" s="1">
        <f t="shared" si="9"/>
        <v>58.99558777864447</v>
      </c>
      <c r="G75" s="1">
        <f t="shared" si="12"/>
        <v>39.760273709108482</v>
      </c>
      <c r="I75">
        <f t="shared" si="13"/>
        <v>48.261089856264725</v>
      </c>
      <c r="Q75" s="27">
        <v>45.079821836866657</v>
      </c>
      <c r="Y75" s="27">
        <v>39.760273709108482</v>
      </c>
    </row>
    <row r="76" spans="1:25">
      <c r="A76" s="7">
        <v>770</v>
      </c>
      <c r="B76" s="1">
        <f t="shared" si="10"/>
        <v>1.3403366292451098</v>
      </c>
      <c r="C76">
        <f t="shared" si="8"/>
        <v>71.606842796405459</v>
      </c>
      <c r="D76" s="1">
        <f t="shared" si="11"/>
        <v>45.069720482483945</v>
      </c>
      <c r="F76" s="1">
        <f t="shared" si="9"/>
        <v>58.984652669679853</v>
      </c>
      <c r="G76" s="1">
        <f t="shared" si="12"/>
        <v>39.748098218659173</v>
      </c>
      <c r="I76">
        <f t="shared" si="13"/>
        <v>48.252052577348415</v>
      </c>
      <c r="Q76" s="27">
        <v>45.069720482483945</v>
      </c>
      <c r="Y76" s="27">
        <v>39.748098218659173</v>
      </c>
    </row>
    <row r="77" spans="1:25">
      <c r="A77" s="7">
        <v>775</v>
      </c>
      <c r="B77" s="1">
        <f t="shared" si="10"/>
        <v>1.3405268300087247</v>
      </c>
      <c r="C77">
        <f t="shared" si="8"/>
        <v>71.600745285852085</v>
      </c>
      <c r="D77" s="1">
        <f t="shared" si="11"/>
        <v>45.059539623549853</v>
      </c>
      <c r="F77" s="1">
        <f t="shared" si="9"/>
        <v>58.973627496762546</v>
      </c>
      <c r="G77" s="1">
        <f t="shared" si="12"/>
        <v>39.735825917365112</v>
      </c>
      <c r="I77">
        <f t="shared" si="13"/>
        <v>48.242944489896608</v>
      </c>
      <c r="Q77" s="27">
        <v>45.059539623549853</v>
      </c>
      <c r="Y77" s="27">
        <v>39.735825917365112</v>
      </c>
    </row>
    <row r="78" spans="1:25">
      <c r="A78" s="7">
        <v>780</v>
      </c>
      <c r="B78" s="1">
        <f t="shared" si="10"/>
        <v>1.3407186038368368</v>
      </c>
      <c r="C78">
        <f t="shared" si="8"/>
        <v>71.594598225947919</v>
      </c>
      <c r="D78" s="1">
        <f t="shared" si="11"/>
        <v>45.049278957445537</v>
      </c>
      <c r="F78" s="1">
        <f t="shared" si="9"/>
        <v>58.962511834825584</v>
      </c>
      <c r="G78" s="1">
        <f t="shared" si="12"/>
        <v>39.723456416365572</v>
      </c>
      <c r="I78">
        <f t="shared" si="13"/>
        <v>48.233765330939399</v>
      </c>
      <c r="Q78" s="27">
        <v>45.049278957445537</v>
      </c>
      <c r="Y78" s="27">
        <v>39.723456416365572</v>
      </c>
    </row>
    <row r="79" spans="1:25">
      <c r="A79" s="7">
        <v>785</v>
      </c>
      <c r="B79" s="1">
        <f t="shared" si="10"/>
        <v>1.3409119584078621</v>
      </c>
      <c r="C79">
        <f t="shared" si="8"/>
        <v>71.588401391322876</v>
      </c>
      <c r="D79" s="1">
        <f t="shared" si="11"/>
        <v>45.038938178295133</v>
      </c>
      <c r="F79" s="1">
        <f t="shared" si="9"/>
        <v>58.95130525390023</v>
      </c>
      <c r="G79" s="1">
        <f t="shared" si="12"/>
        <v>39.710989322527652</v>
      </c>
      <c r="I79">
        <f t="shared" si="13"/>
        <v>48.224514834700514</v>
      </c>
      <c r="Q79" s="27">
        <v>45.038938178295133</v>
      </c>
      <c r="Y79" s="27">
        <v>39.710989322527652</v>
      </c>
    </row>
    <row r="80" spans="1:25">
      <c r="A80" s="7">
        <v>790</v>
      </c>
      <c r="B80" s="1">
        <f t="shared" si="10"/>
        <v>1.3411069014883532</v>
      </c>
      <c r="C80">
        <f t="shared" si="8"/>
        <v>71.582154554054299</v>
      </c>
      <c r="D80" s="1">
        <f t="shared" si="11"/>
        <v>45.02851697693329</v>
      </c>
      <c r="F80" s="1">
        <f t="shared" si="9"/>
        <v>58.940007319060918</v>
      </c>
      <c r="G80" s="1">
        <f t="shared" si="12"/>
        <v>39.698424238402026</v>
      </c>
      <c r="I80">
        <f t="shared" si="13"/>
        <v>48.215192732570038</v>
      </c>
      <c r="Q80" s="27">
        <v>45.02851697693329</v>
      </c>
      <c r="Y80" s="27">
        <v>39.698424238402026</v>
      </c>
    </row>
    <row r="81" spans="11:11">
      <c r="K81" s="27"/>
    </row>
    <row r="82" spans="11:11">
      <c r="K82" s="27"/>
    </row>
    <row r="83" spans="11:11">
      <c r="K83" s="2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9C78-A05E-4482-829C-8497E1D30D3A}">
  <dimension ref="A1:BX74"/>
  <sheetViews>
    <sheetView tabSelected="1" topLeftCell="BB1" workbookViewId="0">
      <selection activeCell="BD15" sqref="BD15"/>
    </sheetView>
  </sheetViews>
  <sheetFormatPr defaultRowHeight="14.45"/>
  <sheetData>
    <row r="1" spans="1:76" s="28" customFormat="1">
      <c r="A1" s="28" t="s">
        <v>62</v>
      </c>
      <c r="B1" s="28" t="s">
        <v>63</v>
      </c>
      <c r="C1" s="28" t="s">
        <v>64</v>
      </c>
      <c r="E1" s="29" t="s">
        <v>65</v>
      </c>
      <c r="F1" s="30" t="s">
        <v>66</v>
      </c>
      <c r="G1" s="31" t="s">
        <v>67</v>
      </c>
      <c r="H1" s="32" t="s">
        <v>68</v>
      </c>
      <c r="I1" s="33" t="s">
        <v>51</v>
      </c>
      <c r="J1" s="34" t="s">
        <v>52</v>
      </c>
      <c r="K1" s="35" t="s">
        <v>69</v>
      </c>
      <c r="M1" s="29" t="s">
        <v>70</v>
      </c>
      <c r="N1" s="30" t="s">
        <v>26</v>
      </c>
      <c r="O1" s="31" t="s">
        <v>71</v>
      </c>
      <c r="P1" s="32" t="s">
        <v>28</v>
      </c>
      <c r="Q1" s="33" t="s">
        <v>29</v>
      </c>
      <c r="R1" s="34" t="s">
        <v>30</v>
      </c>
      <c r="S1" s="35" t="s">
        <v>72</v>
      </c>
      <c r="V1" s="28" t="s">
        <v>64</v>
      </c>
      <c r="X1" s="29" t="s">
        <v>65</v>
      </c>
      <c r="Y1" s="30" t="s">
        <v>66</v>
      </c>
      <c r="Z1" s="31" t="s">
        <v>67</v>
      </c>
      <c r="AA1" s="32" t="s">
        <v>68</v>
      </c>
      <c r="AB1" s="33" t="s">
        <v>51</v>
      </c>
      <c r="AC1" s="34" t="s">
        <v>52</v>
      </c>
      <c r="AD1" s="35" t="s">
        <v>69</v>
      </c>
      <c r="AF1" s="29" t="s">
        <v>70</v>
      </c>
      <c r="AG1" s="30" t="s">
        <v>26</v>
      </c>
      <c r="AH1" s="31" t="s">
        <v>71</v>
      </c>
      <c r="AI1" s="32" t="s">
        <v>28</v>
      </c>
      <c r="AJ1" s="33" t="s">
        <v>29</v>
      </c>
      <c r="AK1" s="34" t="s">
        <v>30</v>
      </c>
      <c r="AL1" s="35" t="s">
        <v>72</v>
      </c>
      <c r="AO1" s="28" t="s">
        <v>64</v>
      </c>
      <c r="AQ1" s="29" t="s">
        <v>65</v>
      </c>
      <c r="AR1" s="30" t="s">
        <v>66</v>
      </c>
      <c r="AS1" s="31" t="s">
        <v>67</v>
      </c>
      <c r="AT1" s="32" t="s">
        <v>68</v>
      </c>
      <c r="AU1" s="33" t="s">
        <v>51</v>
      </c>
      <c r="AV1" s="34" t="s">
        <v>52</v>
      </c>
      <c r="AW1" s="35" t="s">
        <v>69</v>
      </c>
      <c r="AY1" s="29" t="s">
        <v>70</v>
      </c>
      <c r="AZ1" s="30" t="s">
        <v>26</v>
      </c>
      <c r="BA1" s="31" t="s">
        <v>71</v>
      </c>
      <c r="BB1" s="32" t="s">
        <v>28</v>
      </c>
      <c r="BC1" s="33" t="s">
        <v>29</v>
      </c>
      <c r="BD1" s="34" t="s">
        <v>30</v>
      </c>
      <c r="BE1" s="35" t="s">
        <v>72</v>
      </c>
      <c r="BH1" s="28" t="s">
        <v>64</v>
      </c>
      <c r="BJ1" s="29" t="s">
        <v>65</v>
      </c>
      <c r="BK1" s="30" t="s">
        <v>66</v>
      </c>
      <c r="BL1" s="31" t="s">
        <v>67</v>
      </c>
      <c r="BM1" s="32" t="s">
        <v>68</v>
      </c>
      <c r="BN1" s="33" t="s">
        <v>51</v>
      </c>
      <c r="BO1" s="34" t="s">
        <v>52</v>
      </c>
      <c r="BP1" s="35" t="s">
        <v>69</v>
      </c>
      <c r="BR1" s="29" t="s">
        <v>70</v>
      </c>
      <c r="BS1" s="30" t="s">
        <v>26</v>
      </c>
      <c r="BT1" s="31" t="s">
        <v>71</v>
      </c>
      <c r="BU1" s="32" t="s">
        <v>28</v>
      </c>
      <c r="BV1" s="33" t="s">
        <v>29</v>
      </c>
      <c r="BW1" s="34" t="s">
        <v>30</v>
      </c>
      <c r="BX1" s="35" t="s">
        <v>72</v>
      </c>
    </row>
    <row r="2" spans="1:76">
      <c r="A2">
        <v>-180</v>
      </c>
      <c r="B2">
        <f>A2</f>
        <v>-180</v>
      </c>
      <c r="C2">
        <v>5</v>
      </c>
      <c r="E2" s="9">
        <f t="shared" ref="E2:E33" si="0">DEGREES(ASIN(COS(RADIANS(42))*SIN(RADIANS(-$C$2)) + SIN(RADIANS(42))*COS(RADIANS(-$C$2))*COS(RADIANS(A2))))</f>
        <v>-46.999999999999993</v>
      </c>
      <c r="F2" s="10">
        <f t="shared" ref="F2:F33" si="1">DEGREES(ASIN(COS(RADIANS(41.2))*SIN(RADIANS(-$C$2)) + SIN(RADIANS(41.2))*COS(RADIANS(-$C$2))*COS(RADIANS(A2))))</f>
        <v>-46.199999999999996</v>
      </c>
      <c r="G2" s="11">
        <f t="shared" ref="G2:G33" si="2">DEGREES(ASIN(COS(RADIANS(41))*SIN(RADIANS(-$C$2)) + SIN(RADIANS(41))*COS(RADIANS(-$C$2))*COS(RADIANS(A2))))</f>
        <v>-45.999999999999993</v>
      </c>
      <c r="H2" s="12">
        <f t="shared" ref="H2:H33" si="3">DEGREES(ASIN(COS(RADIANS(40.7))*SIN(RADIANS(-$C$2)) + SIN(RADIANS(40.7))*COS(RADIANS(-$C$2))*COS(RADIANS(A2))))</f>
        <v>-45.7</v>
      </c>
      <c r="I2" s="13">
        <f t="shared" ref="I2:I33" si="4">DEGREES(ASIN(COS(RADIANS(40.5))*SIN(RADIANS(-$C$2)) + SIN(RADIANS(40.5))*COS(RADIANS(-$C$2))*COS(RADIANS(A2))))</f>
        <v>-45.5</v>
      </c>
      <c r="J2" s="14">
        <f t="shared" ref="J2:J33" si="5">DEGREES(ASIN(COS(RADIANS(40.2))*SIN(RADIANS(-$C$2)) + SIN(RADIANS(40.2))*COS(RADIANS(-$C$2))*COS(RADIANS(A2))))</f>
        <v>-45.20000000000001</v>
      </c>
      <c r="K2" s="15">
        <f t="shared" ref="K2:K33" si="6">DEGREES(ASIN(COS(RADIANS(40))*SIN(RADIANS(-$C$2)) + SIN(RADIANS(40))*COS(RADIANS(-$C$2))*COS(RADIANS(A2))))</f>
        <v>-45</v>
      </c>
      <c r="M2" s="9">
        <f>DEGREES(ASIN(COS(RADIANS(50))*SIN(RADIANS(-$C$2)) + SIN(RADIANS(50))*COS(RADIANS(-$C$2))*COS(RADIANS(A2))))</f>
        <v>-55.000000000000007</v>
      </c>
      <c r="N2" s="10">
        <f>DEGREES(ASIN(COS(RADIANS(50.5))*SIN(RADIANS(-$C$2)) + SIN(RADIANS(50.5))*COS(RADIANS(-$C$2))*COS(RADIANS(A2))))</f>
        <v>-55.5</v>
      </c>
      <c r="O2" s="11">
        <f>DEGREES(ASIN(COS(RADIANS(51))*SIN(RADIANS(-$C$2)) + SIN(RADIANS(51))*COS(RADIANS(-$C$2))*COS(RADIANS(A2))))</f>
        <v>-55.999999999999993</v>
      </c>
      <c r="P2" s="12">
        <f>DEGREES(ASIN(COS(RADIANS(51.5))*SIN(RADIANS(-$C$2)) + SIN(RADIANS(51.5))*COS(RADIANS(-$C$2))*COS(RADIANS(A2))))</f>
        <v>-56.5</v>
      </c>
      <c r="Q2" s="13">
        <f>DEGREES(ASIN(COS(RADIANS(52))*SIN(RADIANS(-$C$2)) + SIN(RADIANS(52))*COS(RADIANS(-$C$2))*COS(RADIANS(A2))))</f>
        <v>-57.000000000000007</v>
      </c>
      <c r="R2" s="14">
        <f>DEGREES(ASIN(COS(RADIANS(52.5))*SIN(RADIANS(-$C$2)) + SIN(RADIANS(52.5))*COS(RADIANS(-$C$2))*COS(RADIANS(A2))))</f>
        <v>-57.5</v>
      </c>
      <c r="S2" s="15">
        <f>DEGREES(ASIN(COS(RADIANS(53))*SIN(RADIANS(-$C$2)) + SIN(RADIANS(53))*COS(RADIANS(-$C$2))*COS(RADIANS(A2))))</f>
        <v>-57.999999999999993</v>
      </c>
      <c r="V2">
        <v>20</v>
      </c>
      <c r="X2" s="9">
        <f>DEGREES(ASIN(COS(RADIANS(42))*SIN(RADIANS(-$V$2)) + SIN(RADIANS(42))*COS(RADIANS(-$V$2))*COS(RADIANS(A2))))</f>
        <v>-62.000000000000014</v>
      </c>
      <c r="Y2" s="10">
        <f>DEGREES(ASIN(COS(RADIANS(41.2))*SIN(RADIANS(-$V$2)) + SIN(RADIANS(41.2))*COS(RADIANS(-$V$2))*COS(RADIANS(A2))))</f>
        <v>-61.199999999999982</v>
      </c>
      <c r="Z2" s="11">
        <f>DEGREES(ASIN(COS(RADIANS(41))*SIN(RADIANS(-$V$2)) + SIN(RADIANS(41))*COS(RADIANS(-$V$2))*COS(RADIANS(A2))))</f>
        <v>-61</v>
      </c>
      <c r="AA2" s="12">
        <f>DEGREES(ASIN(COS(RADIANS(40.7))*SIN(RADIANS(-$V$2)) + SIN(RADIANS(40.7))*COS(RADIANS(-$V$2))*COS(RADIANS(A2))))</f>
        <v>-60.7</v>
      </c>
      <c r="AB2" s="13">
        <f>DEGREES(ASIN(COS(RADIANS(40.5))*SIN(RADIANS(-$V$2)) + SIN(RADIANS(40.5))*COS(RADIANS(-$V$2))*COS(RADIANS(A2))))</f>
        <v>-60.5</v>
      </c>
      <c r="AC2" s="14">
        <f>DEGREES(ASIN(COS(RADIANS(40.2))*SIN(RADIANS(-$V$2)) + SIN(RADIANS(40.2))*COS(RADIANS(-$V$2))*COS(RADIANS(A2))))</f>
        <v>-60.20000000000001</v>
      </c>
      <c r="AD2" s="15">
        <f>DEGREES(ASIN(COS(RADIANS(40))*SIN(RADIANS(-$V$2)) + SIN(RADIANS(40))*COS(RADIANS(-$V$2))*COS(RADIANS(A2))))</f>
        <v>-59.999999999999993</v>
      </c>
      <c r="AF2" s="9">
        <f>DEGREES(ASIN(COS(RADIANS(50))*SIN(RADIANS(-$V$2)) + SIN(RADIANS(50))*COS(RADIANS(-$V$2))*COS(RADIANS(A2))))</f>
        <v>-70.000000000000014</v>
      </c>
      <c r="AG2" s="10">
        <f>DEGREES(ASIN(COS(RADIANS(50.5))*SIN(RADIANS(-$V$2)) + SIN(RADIANS(50.5))*COS(RADIANS(-$V$2))*COS(RADIANS(A2))))</f>
        <v>-70.500000000000028</v>
      </c>
      <c r="AH2" s="11">
        <f>DEGREES(ASIN(COS(RADIANS(51))*SIN(RADIANS(-$V$2)) + SIN(RADIANS(51))*COS(RADIANS(-$V$2))*COS(RADIANS(A2))))</f>
        <v>-71.000000000000028</v>
      </c>
      <c r="AI2" s="12">
        <f>DEGREES(ASIN(COS(RADIANS(51.5))*SIN(RADIANS(-$V$2)) + SIN(RADIANS(51.5))*COS(RADIANS(-$V$2))*COS(RADIANS(A2))))</f>
        <v>-71.5</v>
      </c>
      <c r="AJ2" s="13">
        <f>DEGREES(ASIN(COS(RADIANS(52))*SIN(RADIANS(-$V$2)) + SIN(RADIANS(52))*COS(RADIANS(-$V$2))*COS(RADIANS(A2))))</f>
        <v>-72.000000000000014</v>
      </c>
      <c r="AK2" s="14">
        <f>DEGREES(ASIN(COS(RADIANS(52.5))*SIN(RADIANS(-$V$2)) + SIN(RADIANS(52.5))*COS(RADIANS(-$V$2))*COS(RADIANS(A2))))</f>
        <v>-72.499999999999986</v>
      </c>
      <c r="AL2" s="15">
        <f>DEGREES(ASIN(COS(RADIANS(53))*SIN(RADIANS(-$V$2)) + SIN(RADIANS(53))*COS(RADIANS(-$V$2))*COS(RADIANS(A2))))</f>
        <v>-73.000000000000014</v>
      </c>
      <c r="AO2">
        <v>30</v>
      </c>
      <c r="AQ2" s="9">
        <f>DEGREES(ASIN(COS(RADIANS(42))*SIN(RADIANS(-$AO$2)) + SIN(RADIANS(42))*COS(RADIANS(-$AO$2))*COS(RADIANS(A2))))</f>
        <v>-72.000000000000014</v>
      </c>
      <c r="AR2" s="10">
        <f>DEGREES(ASIN(COS(RADIANS(41.2))*SIN(RADIANS(-$AO$2)) + SIN(RADIANS(41.2))*COS(RADIANS(-$AO$2))*COS(RADIANS(A2))))</f>
        <v>-71.200000000000017</v>
      </c>
      <c r="AS2" s="11">
        <f>DEGREES(ASIN(COS(RADIANS(41))*SIN(RADIANS(-$AO$2)) + SIN(RADIANS(41))*COS(RADIANS(-$AO$2))*COS(RADIANS(A2))))</f>
        <v>-71.000000000000028</v>
      </c>
      <c r="AT2" s="12">
        <f>DEGREES(ASIN(COS(RADIANS(40.7))*SIN(RADIANS(-$AO$2)) + SIN(RADIANS(40.7))*COS(RADIANS(-$AO$2))*COS(RADIANS(A2))))</f>
        <v>-70.700000000000017</v>
      </c>
      <c r="AU2" s="13">
        <f>DEGREES(ASIN(COS(RADIANS(40.5))*SIN(RADIANS(-$AO$2)) + SIN(RADIANS(40.5))*COS(RADIANS(-$AO$2))*COS(RADIANS(A2))))</f>
        <v>-70.500000000000028</v>
      </c>
      <c r="AV2" s="14">
        <f>DEGREES(ASIN(COS(RADIANS(40.2))*SIN(RADIANS(-$AO$2)) + SIN(RADIANS(40.2))*COS(RADIANS(-$AO$2))*COS(RADIANS(A2))))</f>
        <v>-70.2</v>
      </c>
      <c r="AW2" s="15">
        <f>DEGREES(ASIN(COS(RADIANS(40))*SIN(RADIANS(-$AO$2)) + SIN(RADIANS(40))*COS(RADIANS(-$AO$2))*COS(RADIANS(A2))))</f>
        <v>-70.000000000000014</v>
      </c>
      <c r="AY2" s="9">
        <f>DEGREES(ASIN(COS(RADIANS(50))*SIN(RADIANS(-$AO$2)) + SIN(RADIANS(50))*COS(RADIANS(-$AO$2))*COS(RADIANS(A2))))</f>
        <v>-80.000000000000028</v>
      </c>
      <c r="AZ2" s="10">
        <f>DEGREES(ASIN(COS(RADIANS(50.5))*SIN(RADIANS(-$AO$2)) + SIN(RADIANS(50.5))*COS(RADIANS(-$AO$2))*COS(RADIANS(A2))))</f>
        <v>-80.500000000000014</v>
      </c>
      <c r="BA2" s="11">
        <f>DEGREES(ASIN(COS(RADIANS(51))*SIN(RADIANS(-$AO$2)) + SIN(RADIANS(51))*COS(RADIANS(-$AO$2))*COS(RADIANS(A2))))</f>
        <v>-81.000000000000028</v>
      </c>
      <c r="BB2" s="12">
        <f>DEGREES(ASIN(COS(RADIANS(51.5))*SIN(RADIANS(-$AO$2)) + SIN(RADIANS(51.5))*COS(RADIANS(-$AO$2))*COS(RADIANS(A2))))</f>
        <v>-81.5</v>
      </c>
      <c r="BC2" s="13">
        <f>DEGREES(ASIN(COS(RADIANS(52))*SIN(RADIANS(-$AO$2)) + SIN(RADIANS(52))*COS(RADIANS(-$AO$2))*COS(RADIANS(A2))))</f>
        <v>-82.000000000000028</v>
      </c>
      <c r="BD2" s="14">
        <f>DEGREES(ASIN(COS(RADIANS(52.5))*SIN(RADIANS(-$AO$2)) + SIN(RADIANS(52.5))*COS(RADIANS(-$AO$2))*COS(RADIANS(A2))))</f>
        <v>-82.500000000000028</v>
      </c>
      <c r="BE2" s="15">
        <f>DEGREES(ASIN(COS(RADIANS(53))*SIN(RADIANS(-$AO$2)) + SIN(RADIANS(53))*COS(RADIANS(-$AO$2))*COS(RADIANS(A2))))</f>
        <v>-83.000000000000028</v>
      </c>
      <c r="BH2">
        <v>40</v>
      </c>
      <c r="BJ2" s="9">
        <f>DEGREES(ASIN(COS(RADIANS(42))*SIN(RADIANS(-$BH$2)) + SIN(RADIANS(42))*COS(RADIANS(-$BH$2))*COS(RADIANS(A2))))</f>
        <v>-81.999999999999943</v>
      </c>
      <c r="BK2" s="10">
        <f>DEGREES(ASIN(COS(RADIANS(41.2))*SIN(RADIANS(-$BH$2)) + SIN(RADIANS(41.2))*COS(RADIANS(-$BH$2))*COS(RADIANS(A2))))</f>
        <v>-81.199999999999946</v>
      </c>
      <c r="BL2" s="11">
        <f>DEGREES(ASIN(COS(RADIANS(41))*SIN(RADIANS(-$BH$2)) + SIN(RADIANS(41))*COS(RADIANS(-$BH$2))*COS(RADIANS(A2))))</f>
        <v>-81.000000000000014</v>
      </c>
      <c r="BM2" s="12">
        <f>DEGREES(ASIN(COS(RADIANS(40.7))*SIN(RADIANS(-$BH$2)) + SIN(RADIANS(40.7))*COS(RADIANS(-$BH$2))*COS(RADIANS(A2))))</f>
        <v>-80.699999999999989</v>
      </c>
      <c r="BN2" s="13">
        <f>DEGREES(ASIN(COS(RADIANS(40.5))*SIN(RADIANS(-$BH$2)) + SIN(RADIANS(40.5))*COS(RADIANS(-$BH$2))*COS(RADIANS(A2))))</f>
        <v>-80.499999999999943</v>
      </c>
      <c r="BO2" s="14">
        <f>DEGREES(ASIN(COS(RADIANS(40.2))*SIN(RADIANS(-$BH$2)) + SIN(RADIANS(40.2))*COS(RADIANS(-$BH$2))*COS(RADIANS(A2))))</f>
        <v>-80.200000000000017</v>
      </c>
      <c r="BP2" s="15">
        <f>DEGREES(ASIN(COS(RADIANS(40))*SIN(RADIANS(-$BH$2)) + SIN(RADIANS(40))*COS(RADIANS(-$BH$2))*COS(RADIANS(A2))))</f>
        <v>-79.999999999999943</v>
      </c>
      <c r="BR2" s="9">
        <f>DEGREES(ASIN(COS(RADIANS(50))*SIN(RADIANS(-$BH$2)) + SIN(RADIANS(50))*COS(RADIANS(-$BH$2))*COS(RADIANS(A2))))</f>
        <v>-90</v>
      </c>
      <c r="BS2" s="10">
        <f>DEGREES(ASIN(COS(RADIANS(50.5))*SIN(RADIANS(-$BH$2)) + SIN(RADIANS(50.5))*COS(RADIANS(-$BH$2))*COS(RADIANS(A2))))</f>
        <v>-89.499999999999403</v>
      </c>
      <c r="BT2" s="11">
        <f>DEGREES(ASIN(COS(RADIANS(51))*SIN(RADIANS(-$BH$2)) + SIN(RADIANS(51))*COS(RADIANS(-$BH$2))*COS(RADIANS(A2))))</f>
        <v>-89.000000000000099</v>
      </c>
      <c r="BU2" s="12">
        <f>DEGREES(ASIN(COS(RADIANS(51.5))*SIN(RADIANS(-$BH$2)) + SIN(RADIANS(51.5))*COS(RADIANS(-$BH$2))*COS(RADIANS(A2))))</f>
        <v>-88.499999999999716</v>
      </c>
      <c r="BV2" s="13">
        <f>DEGREES(ASIN(COS(RADIANS(52))*SIN(RADIANS(-$BH$2)) + SIN(RADIANS(52))*COS(RADIANS(-$BH$2))*COS(RADIANS(A2))))</f>
        <v>-87.999999999999872</v>
      </c>
      <c r="BW2" s="14">
        <f>DEGREES(ASIN(COS(RADIANS(52.5))*SIN(RADIANS(-$BH$2)) + SIN(RADIANS(52.5))*COS(RADIANS(-$BH$2))*COS(RADIANS(A2))))</f>
        <v>-87.499999999999901</v>
      </c>
      <c r="BX2" s="15">
        <f>DEGREES(ASIN(COS(RADIANS(53))*SIN(RADIANS(-$BH$2)) + SIN(RADIANS(53))*COS(RADIANS(-$BH$2))*COS(RADIANS(A2))))</f>
        <v>-86.999999999999844</v>
      </c>
    </row>
    <row r="3" spans="1:76">
      <c r="A3">
        <f>A2 + 5</f>
        <v>-175</v>
      </c>
      <c r="B3">
        <f t="shared" ref="B3:B66" si="7">A3</f>
        <v>-175</v>
      </c>
      <c r="E3" s="9">
        <f t="shared" si="0"/>
        <v>-46.787322751445465</v>
      </c>
      <c r="F3" s="10">
        <f t="shared" si="1"/>
        <v>-45.993686768464535</v>
      </c>
      <c r="G3" s="11">
        <f t="shared" si="2"/>
        <v>-45.795249145273019</v>
      </c>
      <c r="H3" s="12">
        <f t="shared" si="3"/>
        <v>-45.497571888198429</v>
      </c>
      <c r="I3" s="13">
        <f t="shared" si="4"/>
        <v>-45.299106727080677</v>
      </c>
      <c r="J3" s="14">
        <f t="shared" si="5"/>
        <v>-45.001388878388035</v>
      </c>
      <c r="K3" s="15">
        <f t="shared" si="6"/>
        <v>-44.802897123437106</v>
      </c>
      <c r="M3" s="9">
        <f t="shared" ref="M3:M66" si="8">DEGREES(ASIN(COS(RADIANS(50))*SIN(RADIANS(-$C$2)) + SIN(RADIANS(50))*COS(RADIANS(-$C$2))*COS(RADIANS(A3))))</f>
        <v>-54.710959410055253</v>
      </c>
      <c r="N3" s="10">
        <f t="shared" ref="N3:N66" si="9">DEGREES(ASIN(COS(RADIANS(50.5))*SIN(RADIANS(-$C$2)) + SIN(RADIANS(50.5))*COS(RADIANS(-$C$2))*COS(RADIANS(A3))))</f>
        <v>-55.205209581088788</v>
      </c>
      <c r="O3" s="11">
        <f t="shared" ref="O3:O66" si="10">DEGREES(ASIN(COS(RADIANS(51))*SIN(RADIANS(-$C$2)) + SIN(RADIANS(51))*COS(RADIANS(-$C$2))*COS(RADIANS(A3))))</f>
        <v>-55.699314356532554</v>
      </c>
      <c r="P3" s="12">
        <f t="shared" ref="P3:P66" si="11">DEGREES(ASIN(COS(RADIANS(51.5))*SIN(RADIANS(-$C$2)) + SIN(RADIANS(51.5))*COS(RADIANS(-$C$2))*COS(RADIANS(A3))))</f>
        <v>-56.19326726910306</v>
      </c>
      <c r="Q3" s="13">
        <f t="shared" ref="Q3:Q66" si="12">DEGREES(ASIN(COS(RADIANS(52))*SIN(RADIANS(-$C$2)) + SIN(RADIANS(52))*COS(RADIANS(-$C$2))*COS(RADIANS(A3))))</f>
        <v>-56.687061471789107</v>
      </c>
      <c r="R3" s="14">
        <f t="shared" ref="R3:R66" si="13">DEGREES(ASIN(COS(RADIANS(52.5))*SIN(RADIANS(-$C$2)) + SIN(RADIANS(52.5))*COS(RADIANS(-$C$2))*COS(RADIANS(A3))))</f>
        <v>-57.180689709576747</v>
      </c>
      <c r="S3" s="15">
        <f t="shared" ref="S3:S66" si="14">DEGREES(ASIN(COS(RADIANS(53))*SIN(RADIANS(-$C$2)) + SIN(RADIANS(53))*COS(RADIANS(-$C$2))*COS(RADIANS(A3))))</f>
        <v>-57.674144288628582</v>
      </c>
      <c r="X3" s="9">
        <f t="shared" ref="X3:X66" si="15">DEGREES(ASIN(COS(RADIANS(42))*SIN(RADIANS(-$V$2)) + SIN(RADIANS(42))*COS(RADIANS(-$V$2))*COS(RADIANS(A3))))</f>
        <v>-61.709374028327787</v>
      </c>
      <c r="Y3" s="10">
        <f t="shared" ref="Y3:Y66" si="16">DEGREES(ASIN(COS(RADIANS(41.2))*SIN(RADIANS(-$V$2)) + SIN(RADIANS(41.2))*COS(RADIANS(-$V$2))*COS(RADIANS(A3))))</f>
        <v>-60.921107680016483</v>
      </c>
      <c r="Z3" s="11">
        <f t="shared" ref="Z3:Z66" si="17">DEGREES(ASIN(COS(RADIANS(41))*SIN(RADIANS(-$V$2)) + SIN(RADIANS(41))*COS(RADIANS(-$V$2))*COS(RADIANS(A3))))</f>
        <v>-60.723950091924365</v>
      </c>
      <c r="AA3" s="12">
        <f t="shared" ref="AA3:AA66" si="18">DEGREES(ASIN(COS(RADIANS(40.7))*SIN(RADIANS(-$V$2)) + SIN(RADIANS(40.7))*COS(RADIANS(-$V$2))*COS(RADIANS(A3))))</f>
        <v>-60.428148435804907</v>
      </c>
      <c r="AB3" s="13">
        <f t="shared" ref="AB3:AB66" si="19">DEGREES(ASIN(COS(RADIANS(40.5))*SIN(RADIANS(-$V$2)) + SIN(RADIANS(40.5))*COS(RADIANS(-$V$2))*COS(RADIANS(A3))))</f>
        <v>-60.230904831700741</v>
      </c>
      <c r="AC3" s="14">
        <f t="shared" ref="AC3:AC66" si="20">DEGREES(ASIN(COS(RADIANS(40.2))*SIN(RADIANS(-$V$2)) + SIN(RADIANS(40.2))*COS(RADIANS(-$V$2))*COS(RADIANS(A3))))</f>
        <v>-59.934977360521735</v>
      </c>
      <c r="AD3" s="15">
        <f t="shared" ref="AD3:AD66" si="21">DEGREES(ASIN(COS(RADIANS(40))*SIN(RADIANS(-$V$2)) + SIN(RADIANS(40))*COS(RADIANS(-$V$2))*COS(RADIANS(A3))))</f>
        <v>-59.737651954216552</v>
      </c>
      <c r="AF3" s="9">
        <f t="shared" ref="AF3:AF66" si="22">DEGREES(ASIN(COS(RADIANS(50))*SIN(RADIANS(-$V$2)) + SIN(RADIANS(50))*COS(RADIANS(-$V$2))*COS(RADIANS(A3))))</f>
        <v>-69.54605515514838</v>
      </c>
      <c r="AG3" s="10">
        <f t="shared" ref="AG3:AG66" si="23">DEGREES(ASIN(COS(RADIANS(50.5))*SIN(RADIANS(-$V$2)) + SIN(RADIANS(50.5))*COS(RADIANS(-$V$2))*COS(RADIANS(A3))))</f>
        <v>-70.031800462587455</v>
      </c>
      <c r="AH3" s="11">
        <f t="shared" ref="AH3:AH66" si="24">DEGREES(ASIN(COS(RADIANS(51))*SIN(RADIANS(-$V$2)) + SIN(RADIANS(51))*COS(RADIANS(-$V$2))*COS(RADIANS(A3))))</f>
        <v>-70.516854669625587</v>
      </c>
      <c r="AI3" s="12">
        <f t="shared" ref="AI3:AI66" si="25">DEGREES(ASIN(COS(RADIANS(51.5))*SIN(RADIANS(-$V$2)) + SIN(RADIANS(51.5))*COS(RADIANS(-$V$2))*COS(RADIANS(A3))))</f>
        <v>-71.001164770681982</v>
      </c>
      <c r="AJ3" s="13">
        <f t="shared" ref="AJ3:AJ66" si="26">DEGREES(ASIN(COS(RADIANS(52))*SIN(RADIANS(-$V$2)) + SIN(RADIANS(52))*COS(RADIANS(-$V$2))*COS(RADIANS(A3))))</f>
        <v>-71.484672302001371</v>
      </c>
      <c r="AK3" s="14">
        <f t="shared" ref="AK3:AK66" si="27">DEGREES(ASIN(COS(RADIANS(52.5))*SIN(RADIANS(-$V$2)) + SIN(RADIANS(52.5))*COS(RADIANS(-$V$2))*COS(RADIANS(A3))))</f>
        <v>-71.967312633837324</v>
      </c>
      <c r="AL3" s="15">
        <f t="shared" ref="AL3:AL66" si="28">DEGREES(ASIN(COS(RADIANS(53))*SIN(RADIANS(-$V$2)) + SIN(RADIANS(53))*COS(RADIANS(-$V$2))*COS(RADIANS(A3))))</f>
        <v>-72.449014151966537</v>
      </c>
      <c r="AQ3" s="9">
        <f t="shared" ref="AQ3:AQ66" si="29">DEGREES(ASIN(COS(RADIANS(42))*SIN(RADIANS(-$AO$2)) + SIN(RADIANS(42))*COS(RADIANS(-$AO$2))*COS(RADIANS(A3))))</f>
        <v>-71.595533868532655</v>
      </c>
      <c r="AR3" s="10">
        <f t="shared" ref="AR3:AR66" si="30">DEGREES(ASIN(COS(RADIANS(41.2))*SIN(RADIANS(-$AO$2)) + SIN(RADIANS(41.2))*COS(RADIANS(-$AO$2))*COS(RADIANS(A3))))</f>
        <v>-70.817811093629814</v>
      </c>
      <c r="AS3" s="11">
        <f t="shared" ref="AS3:AS66" si="31">DEGREES(ASIN(COS(RADIANS(41))*SIN(RADIANS(-$AO$2)) + SIN(RADIANS(41))*COS(RADIANS(-$AO$2))*COS(RADIANS(A3))))</f>
        <v>-70.623107222394381</v>
      </c>
      <c r="AT3" s="12">
        <f t="shared" ref="AT3:AT66" si="32">DEGREES(ASIN(COS(RADIANS(40.7))*SIN(RADIANS(-$AO$2)) + SIN(RADIANS(40.7))*COS(RADIANS(-$AO$2))*COS(RADIANS(A3))))</f>
        <v>-70.330859725654435</v>
      </c>
      <c r="AU3" s="13">
        <f t="shared" ref="AU3:AU66" si="33">DEGREES(ASIN(COS(RADIANS(40.5))*SIN(RADIANS(-$AO$2)) + SIN(RADIANS(40.5))*COS(RADIANS(-$AO$2))*COS(RADIANS(A3))))</f>
        <v>-70.135904660358406</v>
      </c>
      <c r="AV3" s="14">
        <f t="shared" ref="AV3:AV66" si="34">DEGREES(ASIN(COS(RADIANS(40.2))*SIN(RADIANS(-$AO$2)) + SIN(RADIANS(40.2))*COS(RADIANS(-$AO$2))*COS(RADIANS(A3))))</f>
        <v>-69.843294131748777</v>
      </c>
      <c r="AW3" s="15">
        <f t="shared" ref="AW3:AW66" si="35">DEGREES(ASIN(COS(RADIANS(40))*SIN(RADIANS(-$AO$2)) + SIN(RADIANS(40))*COS(RADIANS(-$AO$2))*COS(RADIANS(A3))))</f>
        <v>-69.648105810489241</v>
      </c>
      <c r="AY3" s="9">
        <f t="shared" ref="AY3:AY66" si="36">DEGREES(ASIN(COS(RADIANS(50))*SIN(RADIANS(-$AO$2)) + SIN(RADIANS(50))*COS(RADIANS(-$AO$2))*COS(RADIANS(A3))))</f>
        <v>-79.198780628828516</v>
      </c>
      <c r="AZ3" s="10">
        <f t="shared" ref="AZ3:AZ66" si="37">DEGREES(ASIN(COS(RADIANS(50.5))*SIN(RADIANS(-$AO$2)) + SIN(RADIANS(50.5))*COS(RADIANS(-$AO$2))*COS(RADIANS(A3))))</f>
        <v>-79.6544953580661</v>
      </c>
      <c r="BA3" s="11">
        <f t="shared" ref="BA3:BA66" si="38">DEGREES(ASIN(COS(RADIANS(51))*SIN(RADIANS(-$AO$2)) + SIN(RADIANS(51))*COS(RADIANS(-$AO$2))*COS(RADIANS(A3))))</f>
        <v>-80.105980054174793</v>
      </c>
      <c r="BB3" s="12">
        <f t="shared" ref="BB3:BB66" si="39">DEGREES(ASIN(COS(RADIANS(51.5))*SIN(RADIANS(-$AO$2)) + SIN(RADIANS(51.5))*COS(RADIANS(-$AO$2))*COS(RADIANS(A3))))</f>
        <v>-80.552628188031377</v>
      </c>
      <c r="BC3" s="13">
        <f t="shared" ref="BC3:BC66" si="40">DEGREES(ASIN(COS(RADIANS(52))*SIN(RADIANS(-$AO$2)) + SIN(RADIANS(52))*COS(RADIANS(-$AO$2))*COS(RADIANS(A3))))</f>
        <v>-80.993720096231911</v>
      </c>
      <c r="BD3" s="14">
        <f t="shared" ref="BD3:BD66" si="41">DEGREES(ASIN(COS(RADIANS(52.5))*SIN(RADIANS(-$AO$2)) + SIN(RADIANS(52.5))*COS(RADIANS(-$AO$2))*COS(RADIANS(A3))))</f>
        <v>-81.42839791543193</v>
      </c>
      <c r="BE3" s="15">
        <f t="shared" ref="BE3:BE66" si="42">DEGREES(ASIN(COS(RADIANS(53))*SIN(RADIANS(-$AO$2)) + SIN(RADIANS(53))*COS(RADIANS(-$AO$2))*COS(RADIANS(A3))))</f>
        <v>-81.855634535395865</v>
      </c>
      <c r="BJ3" s="9">
        <f t="shared" ref="BJ3:BJ66" si="43">DEGREES(ASIN(COS(RADIANS(42))*SIN(RADIANS(-$BH$2)) + SIN(RADIANS(42))*COS(RADIANS(-$BH$2))*COS(RADIANS(A3))))</f>
        <v>-81.233451730006635</v>
      </c>
      <c r="BK3" s="10">
        <f t="shared" ref="BK3:BK66" si="44">DEGREES(ASIN(COS(RADIANS(41.2))*SIN(RADIANS(-$BH$2)) + SIN(RADIANS(41.2))*COS(RADIANS(-$BH$2))*COS(RADIANS(A3))))</f>
        <v>-80.507876571160466</v>
      </c>
      <c r="BL3" s="11">
        <f t="shared" ref="BL3:BL66" si="45">DEGREES(ASIN(COS(RADIANS(41))*SIN(RADIANS(-$BH$2)) + SIN(RADIANS(41))*COS(RADIANS(-$BH$2))*COS(RADIANS(A3))))</f>
        <v>-80.324664527236038</v>
      </c>
      <c r="BM3" s="12">
        <f t="shared" ref="BM3:BM66" si="46">DEGREES(ASIN(COS(RADIANS(40.7))*SIN(RADIANS(-$BH$2)) + SIN(RADIANS(40.7))*COS(RADIANS(-$BH$2))*COS(RADIANS(A3))))</f>
        <v>-80.048645567652855</v>
      </c>
      <c r="BN3" s="13">
        <f t="shared" ref="BN3:BN66" si="47">DEGREES(ASIN(COS(RADIANS(40.5))*SIN(RADIANS(-$BH$2)) + SIN(RADIANS(40.5))*COS(RADIANS(-$BH$2))*COS(RADIANS(A3))))</f>
        <v>-79.863883205313329</v>
      </c>
      <c r="BO3" s="14">
        <f t="shared" ref="BO3:BO66" si="48">DEGREES(ASIN(COS(RADIANS(40.2))*SIN(RADIANS(-$BH$2)) + SIN(RADIANS(40.2))*COS(RADIANS(-$BH$2))*COS(RADIANS(A3))))</f>
        <v>-79.585694890032798</v>
      </c>
      <c r="BP3" s="15">
        <f t="shared" ref="BP3:BP66" si="49">DEGREES(ASIN(COS(RADIANS(40))*SIN(RADIANS(-$BH$2)) + SIN(RADIANS(40))*COS(RADIANS(-$BH$2))*COS(RADIANS(A3))))</f>
        <v>-79.399582152810154</v>
      </c>
      <c r="BR3" s="9">
        <f t="shared" ref="BR3:BR66" si="50">DEGREES(ASIN(COS(RADIANS(50))*SIN(RADIANS(-$BH$2)) + SIN(RADIANS(50))*COS(RADIANS(-$BH$2))*COS(RADIANS(A3))))</f>
        <v>-86.170280149527301</v>
      </c>
      <c r="BS3" s="10">
        <f t="shared" ref="BS3:BS66" si="51">DEGREES(ASIN(COS(RADIANS(50.5))*SIN(RADIANS(-$BH$2)) + SIN(RADIANS(50.5))*COS(RADIANS(-$BH$2))*COS(RADIANS(A3))))</f>
        <v>-86.123942765363751</v>
      </c>
      <c r="BT3" s="11">
        <f t="shared" ref="BT3:BT66" si="52">DEGREES(ASIN(COS(RADIANS(51))*SIN(RADIANS(-$BH$2)) + SIN(RADIANS(51))*COS(RADIANS(-$BH$2))*COS(RADIANS(A3))))</f>
        <v>-86.01501054673929</v>
      </c>
      <c r="BU3" s="12">
        <f t="shared" ref="BU3:BU66" si="53">DEGREES(ASIN(COS(RADIANS(51.5))*SIN(RADIANS(-$BH$2)) + SIN(RADIANS(51.5))*COS(RADIANS(-$BH$2))*COS(RADIANS(A3))))</f>
        <v>-85.848407796437257</v>
      </c>
      <c r="BV3" s="13">
        <f t="shared" ref="BV3:BV66" si="54">DEGREES(ASIN(COS(RADIANS(52))*SIN(RADIANS(-$BH$2)) + SIN(RADIANS(52))*COS(RADIANS(-$BH$2))*COS(RADIANS(A3))))</f>
        <v>-85.63072658106465</v>
      </c>
      <c r="BW3" s="14">
        <f t="shared" ref="BW3:BW66" si="55">DEGREES(ASIN(COS(RADIANS(52.5))*SIN(RADIANS(-$BH$2)) + SIN(RADIANS(52.5))*COS(RADIANS(-$BH$2))*COS(RADIANS(A3))))</f>
        <v>-85.369164445972643</v>
      </c>
      <c r="BX3" s="15">
        <f t="shared" ref="BX3:BX66" si="56">DEGREES(ASIN(COS(RADIANS(53))*SIN(RADIANS(-$BH$2)) + SIN(RADIANS(53))*COS(RADIANS(-$BH$2))*COS(RADIANS(A3))))</f>
        <v>-85.070701797615001</v>
      </c>
    </row>
    <row r="4" spans="1:76">
      <c r="A4">
        <f t="shared" ref="A4:A67" si="57">A3 + 5</f>
        <v>-170</v>
      </c>
      <c r="B4">
        <f t="shared" si="7"/>
        <v>-170</v>
      </c>
      <c r="E4" s="9">
        <f t="shared" si="0"/>
        <v>-46.155859371647033</v>
      </c>
      <c r="F4" s="10">
        <f t="shared" si="1"/>
        <v>-45.380850771879622</v>
      </c>
      <c r="G4" s="11">
        <f t="shared" si="2"/>
        <v>-45.186989852392081</v>
      </c>
      <c r="H4" s="12">
        <f t="shared" si="3"/>
        <v>-44.896119276548475</v>
      </c>
      <c r="I4" s="13">
        <f t="shared" si="4"/>
        <v>-44.702153589525771</v>
      </c>
      <c r="J4" s="14">
        <f t="shared" si="5"/>
        <v>-44.411128494372747</v>
      </c>
      <c r="K4" s="15">
        <f t="shared" si="6"/>
        <v>-44.217061515418933</v>
      </c>
      <c r="M4" s="9">
        <f t="shared" si="8"/>
        <v>-53.858061241359259</v>
      </c>
      <c r="N4" s="10">
        <f t="shared" si="9"/>
        <v>-54.335810285721394</v>
      </c>
      <c r="O4" s="11">
        <f t="shared" si="10"/>
        <v>-54.813023979452936</v>
      </c>
      <c r="P4" s="12">
        <f t="shared" si="11"/>
        <v>-55.289679885641704</v>
      </c>
      <c r="Q4" s="13">
        <f t="shared" si="12"/>
        <v>-55.765754351397206</v>
      </c>
      <c r="R4" s="14">
        <f t="shared" si="13"/>
        <v>-56.241222425911076</v>
      </c>
      <c r="S4" s="15">
        <f t="shared" si="14"/>
        <v>-56.716057772001598</v>
      </c>
      <c r="X4" s="9">
        <f t="shared" si="15"/>
        <v>-60.855596383945155</v>
      </c>
      <c r="Y4" s="10">
        <f t="shared" si="16"/>
        <v>-60.100741648371176</v>
      </c>
      <c r="Z4" s="11">
        <f t="shared" si="17"/>
        <v>-59.911696324850105</v>
      </c>
      <c r="AA4" s="12">
        <f t="shared" si="18"/>
        <v>-59.627889743011345</v>
      </c>
      <c r="AB4" s="13">
        <f t="shared" si="19"/>
        <v>-59.43852976440585</v>
      </c>
      <c r="AC4" s="14">
        <f t="shared" si="20"/>
        <v>-59.154262187754867</v>
      </c>
      <c r="AD4" s="15">
        <f t="shared" si="21"/>
        <v>-58.964602000973962</v>
      </c>
      <c r="AF4" s="9">
        <f t="shared" si="22"/>
        <v>-68.241804258810561</v>
      </c>
      <c r="AG4" s="10">
        <f t="shared" si="23"/>
        <v>-68.689673920274018</v>
      </c>
      <c r="AH4" s="11">
        <f t="shared" si="24"/>
        <v>-69.135287643489633</v>
      </c>
      <c r="AI4" s="12">
        <f t="shared" si="25"/>
        <v>-69.578497483227039</v>
      </c>
      <c r="AJ4" s="13">
        <f t="shared" si="26"/>
        <v>-70.019143208526685</v>
      </c>
      <c r="AK4" s="14">
        <f t="shared" si="27"/>
        <v>-70.457051113678048</v>
      </c>
      <c r="AL4" s="15">
        <f t="shared" si="28"/>
        <v>-70.892032706069259</v>
      </c>
      <c r="AQ4" s="9">
        <f t="shared" si="29"/>
        <v>-70.433401681505813</v>
      </c>
      <c r="AR4" s="10">
        <f t="shared" si="30"/>
        <v>-69.715535019636434</v>
      </c>
      <c r="AS4" s="11">
        <f t="shared" si="31"/>
        <v>-69.535155196999895</v>
      </c>
      <c r="AT4" s="12">
        <f t="shared" si="32"/>
        <v>-69.263939326064389</v>
      </c>
      <c r="AU4" s="13">
        <f t="shared" si="33"/>
        <v>-69.082711040013535</v>
      </c>
      <c r="AV4" s="14">
        <f t="shared" si="34"/>
        <v>-68.810263522561897</v>
      </c>
      <c r="AW4" s="15">
        <f t="shared" si="35"/>
        <v>-68.628240471513763</v>
      </c>
      <c r="AY4" s="9">
        <f t="shared" si="36"/>
        <v>-77.091741299868573</v>
      </c>
      <c r="AZ4" s="10">
        <f t="shared" si="37"/>
        <v>-77.457036858395</v>
      </c>
      <c r="BA4" s="11">
        <f t="shared" si="38"/>
        <v>-77.812922263470512</v>
      </c>
      <c r="BB4" s="12">
        <f t="shared" si="39"/>
        <v>-78.158548866117357</v>
      </c>
      <c r="BC4" s="13">
        <f t="shared" si="40"/>
        <v>-78.492992054121117</v>
      </c>
      <c r="BD4" s="14">
        <f t="shared" si="41"/>
        <v>-78.815248409308055</v>
      </c>
      <c r="BE4" s="15">
        <f t="shared" si="42"/>
        <v>-79.124234407871413</v>
      </c>
      <c r="BJ4" s="9">
        <f t="shared" si="43"/>
        <v>-79.259333438528714</v>
      </c>
      <c r="BK4" s="10">
        <f t="shared" si="44"/>
        <v>-78.684786548171999</v>
      </c>
      <c r="BL4" s="11">
        <f t="shared" si="45"/>
        <v>-78.536977186735072</v>
      </c>
      <c r="BM4" s="12">
        <f t="shared" si="46"/>
        <v>-78.312389134550415</v>
      </c>
      <c r="BN4" s="13">
        <f t="shared" si="47"/>
        <v>-78.160832580435354</v>
      </c>
      <c r="BO4" s="14">
        <f t="shared" si="48"/>
        <v>-77.930888960668113</v>
      </c>
      <c r="BP4" s="15">
        <f t="shared" si="49"/>
        <v>-77.77593037045402</v>
      </c>
      <c r="BR4" s="9">
        <f t="shared" si="50"/>
        <v>-82.343579408321503</v>
      </c>
      <c r="BS4" s="10">
        <f t="shared" si="51"/>
        <v>-82.299403715907829</v>
      </c>
      <c r="BT4" s="11">
        <f t="shared" si="52"/>
        <v>-82.223457103782309</v>
      </c>
      <c r="BU4" s="12">
        <f t="shared" si="53"/>
        <v>-82.116657770398575</v>
      </c>
      <c r="BV4" s="13">
        <f t="shared" si="54"/>
        <v>-81.980238257834358</v>
      </c>
      <c r="BW4" s="14">
        <f t="shared" si="55"/>
        <v>-81.815679642989437</v>
      </c>
      <c r="BX4" s="15">
        <f t="shared" si="56"/>
        <v>-81.62464044611589</v>
      </c>
    </row>
    <row r="5" spans="1:76">
      <c r="A5">
        <f t="shared" si="57"/>
        <v>-165</v>
      </c>
      <c r="B5">
        <f t="shared" si="7"/>
        <v>-165</v>
      </c>
      <c r="E5" s="9">
        <f t="shared" si="0"/>
        <v>-45.12440114277328</v>
      </c>
      <c r="F5" s="10">
        <f t="shared" si="1"/>
        <v>-44.378992844282998</v>
      </c>
      <c r="G5" s="11">
        <f t="shared" si="2"/>
        <v>-44.192415597534932</v>
      </c>
      <c r="H5" s="12">
        <f t="shared" si="3"/>
        <v>-43.912385511657654</v>
      </c>
      <c r="I5" s="13">
        <f t="shared" si="4"/>
        <v>-43.725590936411209</v>
      </c>
      <c r="J5" s="14">
        <f t="shared" si="5"/>
        <v>-43.445240030528396</v>
      </c>
      <c r="K5" s="15">
        <f t="shared" si="6"/>
        <v>-43.258234962437001</v>
      </c>
      <c r="M5" s="9">
        <f t="shared" si="8"/>
        <v>-52.480775754132651</v>
      </c>
      <c r="N5" s="10">
        <f t="shared" si="9"/>
        <v>-52.93324239156388</v>
      </c>
      <c r="O5" s="11">
        <f t="shared" si="10"/>
        <v>-53.384651904327612</v>
      </c>
      <c r="P5" s="12">
        <f t="shared" si="11"/>
        <v>-53.83496394895149</v>
      </c>
      <c r="Q5" s="13">
        <f t="shared" si="12"/>
        <v>-54.284136261056496</v>
      </c>
      <c r="R5" s="14">
        <f t="shared" si="13"/>
        <v>-54.732124545951699</v>
      </c>
      <c r="S5" s="15">
        <f t="shared" si="14"/>
        <v>-55.178882362292221</v>
      </c>
      <c r="X5" s="9">
        <f t="shared" si="15"/>
        <v>-59.487965017079333</v>
      </c>
      <c r="Y5" s="10">
        <f t="shared" si="16"/>
        <v>-58.783598853957074</v>
      </c>
      <c r="Z5" s="11">
        <f t="shared" si="17"/>
        <v>-58.606861970575217</v>
      </c>
      <c r="AA5" s="12">
        <f t="shared" si="18"/>
        <v>-58.341290342253025</v>
      </c>
      <c r="AB5" s="13">
        <f t="shared" si="19"/>
        <v>-58.163937828921597</v>
      </c>
      <c r="AC5" s="14">
        <f t="shared" si="20"/>
        <v>-57.897462117010498</v>
      </c>
      <c r="AD5" s="15">
        <f t="shared" si="21"/>
        <v>-57.719519477672115</v>
      </c>
      <c r="AF5" s="9">
        <f t="shared" si="22"/>
        <v>-66.229092292820113</v>
      </c>
      <c r="AG5" s="10">
        <f t="shared" si="23"/>
        <v>-66.625985526483575</v>
      </c>
      <c r="AH5" s="11">
        <f t="shared" si="24"/>
        <v>-67.019083780979116</v>
      </c>
      <c r="AI5" s="12">
        <f t="shared" si="25"/>
        <v>-67.408188433152375</v>
      </c>
      <c r="AJ5" s="13">
        <f t="shared" si="26"/>
        <v>-67.793089039526507</v>
      </c>
      <c r="AK5" s="14">
        <f t="shared" si="27"/>
        <v>-68.173562678332956</v>
      </c>
      <c r="AL5" s="15">
        <f t="shared" si="28"/>
        <v>-68.54937327900096</v>
      </c>
      <c r="AQ5" s="9">
        <f t="shared" si="29"/>
        <v>-68.640118498653962</v>
      </c>
      <c r="AR5" s="10">
        <f t="shared" si="30"/>
        <v>-68.004294044949276</v>
      </c>
      <c r="AS5" s="11">
        <f t="shared" si="31"/>
        <v>-67.84375561499111</v>
      </c>
      <c r="AT5" s="12">
        <f t="shared" si="32"/>
        <v>-67.601816496593941</v>
      </c>
      <c r="AU5" s="13">
        <f t="shared" si="33"/>
        <v>-67.439788351368222</v>
      </c>
      <c r="AV5" s="14">
        <f t="shared" si="34"/>
        <v>-67.195674454986786</v>
      </c>
      <c r="AW5" s="15">
        <f t="shared" si="35"/>
        <v>-67.032235164649933</v>
      </c>
      <c r="AY5" s="9">
        <f t="shared" si="36"/>
        <v>-74.196733910815666</v>
      </c>
      <c r="AZ5" s="10">
        <f t="shared" si="37"/>
        <v>-74.475406245932362</v>
      </c>
      <c r="BA5" s="11">
        <f t="shared" si="38"/>
        <v>-74.743061261899868</v>
      </c>
      <c r="BB5" s="12">
        <f t="shared" si="39"/>
        <v>-74.999108923991031</v>
      </c>
      <c r="BC5" s="13">
        <f t="shared" si="40"/>
        <v>-75.242944750066144</v>
      </c>
      <c r="BD5" s="14">
        <f t="shared" si="41"/>
        <v>-75.473953496229342</v>
      </c>
      <c r="BE5" s="15">
        <f t="shared" si="42"/>
        <v>-75.691513625293908</v>
      </c>
      <c r="BJ5" s="9">
        <f t="shared" si="43"/>
        <v>-76.606509145195247</v>
      </c>
      <c r="BK5" s="10">
        <f t="shared" si="44"/>
        <v>-76.176185311485796</v>
      </c>
      <c r="BL5" s="11">
        <f t="shared" si="45"/>
        <v>-76.063600363924365</v>
      </c>
      <c r="BM5" s="12">
        <f t="shared" si="46"/>
        <v>-75.891162506081756</v>
      </c>
      <c r="BN5" s="13">
        <f t="shared" si="47"/>
        <v>-75.773897464321038</v>
      </c>
      <c r="BO5" s="14">
        <f t="shared" si="48"/>
        <v>-75.594652887645978</v>
      </c>
      <c r="BP5" s="15">
        <f t="shared" si="49"/>
        <v>-75.47298942404251</v>
      </c>
      <c r="BR5" s="9">
        <f t="shared" si="50"/>
        <v>-78.522941538381303</v>
      </c>
      <c r="BS5" s="10">
        <f t="shared" si="51"/>
        <v>-78.470155066783917</v>
      </c>
      <c r="BT5" s="11">
        <f t="shared" si="52"/>
        <v>-78.396331673900676</v>
      </c>
      <c r="BU5" s="12">
        <f t="shared" si="53"/>
        <v>-78.301869685473719</v>
      </c>
      <c r="BV5" s="13">
        <f t="shared" si="54"/>
        <v>-78.18726428415637</v>
      </c>
      <c r="BW5" s="14">
        <f t="shared" si="55"/>
        <v>-78.053095248657314</v>
      </c>
      <c r="BX5" s="15">
        <f t="shared" si="56"/>
        <v>-77.900013454804835</v>
      </c>
    </row>
    <row r="6" spans="1:76">
      <c r="A6">
        <f t="shared" si="57"/>
        <v>-160</v>
      </c>
      <c r="B6">
        <f t="shared" si="7"/>
        <v>-160</v>
      </c>
      <c r="E6" s="9">
        <f t="shared" si="0"/>
        <v>-43.721507364434629</v>
      </c>
      <c r="F6" s="10">
        <f t="shared" si="1"/>
        <v>-43.014823655214478</v>
      </c>
      <c r="G6" s="11">
        <f t="shared" si="2"/>
        <v>-42.837794841995191</v>
      </c>
      <c r="H6" s="12">
        <f t="shared" si="3"/>
        <v>-42.57199008987218</v>
      </c>
      <c r="I6" s="13">
        <f t="shared" si="4"/>
        <v>-42.394614973722163</v>
      </c>
      <c r="J6" s="14">
        <f t="shared" si="5"/>
        <v>-42.128298432684346</v>
      </c>
      <c r="K6" s="15">
        <f t="shared" si="6"/>
        <v>-41.950587152647103</v>
      </c>
      <c r="M6" s="9">
        <f t="shared" si="8"/>
        <v>-50.635771946825656</v>
      </c>
      <c r="N6" s="10">
        <f t="shared" si="9"/>
        <v>-51.056723092941404</v>
      </c>
      <c r="O6" s="11">
        <f t="shared" si="10"/>
        <v>-51.476087573268529</v>
      </c>
      <c r="P6" s="12">
        <f t="shared" si="11"/>
        <v>-51.89381174858179</v>
      </c>
      <c r="Q6" s="13">
        <f t="shared" si="12"/>
        <v>-52.309839835947926</v>
      </c>
      <c r="R6" s="14">
        <f t="shared" si="13"/>
        <v>-52.724113813288923</v>
      </c>
      <c r="S6" s="15">
        <f t="shared" si="14"/>
        <v>-53.136573319903036</v>
      </c>
      <c r="X6" s="9">
        <f t="shared" si="15"/>
        <v>-57.674903210004913</v>
      </c>
      <c r="Y6" s="10">
        <f t="shared" si="16"/>
        <v>-57.032406887972982</v>
      </c>
      <c r="Z6" s="11">
        <f t="shared" si="17"/>
        <v>-56.870829931065558</v>
      </c>
      <c r="AA6" s="12">
        <f t="shared" si="18"/>
        <v>-56.627772550866695</v>
      </c>
      <c r="AB6" s="13">
        <f t="shared" si="19"/>
        <v>-56.465280894749334</v>
      </c>
      <c r="AC6" s="14">
        <f t="shared" si="20"/>
        <v>-56.220876552133198</v>
      </c>
      <c r="AD6" s="15">
        <f t="shared" si="21"/>
        <v>-56.057503314233763</v>
      </c>
      <c r="AF6" s="9">
        <f t="shared" si="22"/>
        <v>-63.673392474436817</v>
      </c>
      <c r="AG6" s="10">
        <f t="shared" si="23"/>
        <v>-64.015580253806931</v>
      </c>
      <c r="AH6" s="11">
        <f t="shared" si="24"/>
        <v>-64.352950051121709</v>
      </c>
      <c r="AI6" s="12">
        <f t="shared" si="25"/>
        <v>-64.685308441752454</v>
      </c>
      <c r="AJ6" s="13">
        <f t="shared" si="26"/>
        <v>-65.012454673510689</v>
      </c>
      <c r="AK6" s="14">
        <f t="shared" si="27"/>
        <v>-65.33418058914107</v>
      </c>
      <c r="AL6" s="15">
        <f t="shared" si="28"/>
        <v>-65.650270583488265</v>
      </c>
      <c r="AQ6" s="9">
        <f t="shared" si="29"/>
        <v>-66.36376373430501</v>
      </c>
      <c r="AR6" s="10">
        <f t="shared" si="30"/>
        <v>-65.817798244686273</v>
      </c>
      <c r="AS6" s="11">
        <f t="shared" si="31"/>
        <v>-65.679239173931279</v>
      </c>
      <c r="AT6" s="12">
        <f t="shared" si="32"/>
        <v>-65.469906690476904</v>
      </c>
      <c r="AU6" s="13">
        <f t="shared" si="33"/>
        <v>-65.329375563690164</v>
      </c>
      <c r="AV6" s="14">
        <f t="shared" si="34"/>
        <v>-65.117147852595906</v>
      </c>
      <c r="AW6" s="15">
        <f t="shared" si="35"/>
        <v>-64.974727639567831</v>
      </c>
      <c r="AY6" s="9">
        <f t="shared" si="36"/>
        <v>-70.873767137767061</v>
      </c>
      <c r="AZ6" s="10">
        <f t="shared" si="37"/>
        <v>-71.082328084631826</v>
      </c>
      <c r="BA6" s="11">
        <f t="shared" si="38"/>
        <v>-71.280262793516485</v>
      </c>
      <c r="BB6" s="12">
        <f t="shared" si="39"/>
        <v>-71.467230411418271</v>
      </c>
      <c r="BC6" s="13">
        <f t="shared" si="40"/>
        <v>-71.642895479364924</v>
      </c>
      <c r="BD6" s="14">
        <f t="shared" si="41"/>
        <v>-71.806930262140412</v>
      </c>
      <c r="BE6" s="15">
        <f t="shared" si="42"/>
        <v>-71.959017206549774</v>
      </c>
      <c r="BJ6" s="9">
        <f t="shared" si="43"/>
        <v>-73.608425689284971</v>
      </c>
      <c r="BK6" s="10">
        <f t="shared" si="44"/>
        <v>-73.295148317048032</v>
      </c>
      <c r="BL6" s="11">
        <f t="shared" si="45"/>
        <v>-73.211926064170697</v>
      </c>
      <c r="BM6" s="12">
        <f t="shared" si="46"/>
        <v>-73.083531433340085</v>
      </c>
      <c r="BN6" s="13">
        <f t="shared" si="47"/>
        <v>-72.995602702461341</v>
      </c>
      <c r="BO6" s="14">
        <f t="shared" si="48"/>
        <v>-72.860282981228522</v>
      </c>
      <c r="BP6" s="15">
        <f t="shared" si="49"/>
        <v>-72.76782730489802</v>
      </c>
      <c r="BR6" s="9">
        <f t="shared" si="50"/>
        <v>-74.711459887411138</v>
      </c>
      <c r="BS6" s="10">
        <f t="shared" si="51"/>
        <v>-74.64730109678051</v>
      </c>
      <c r="BT6" s="11">
        <f t="shared" si="52"/>
        <v>-74.56758304021325</v>
      </c>
      <c r="BU6" s="12">
        <f t="shared" si="53"/>
        <v>-74.472545474018418</v>
      </c>
      <c r="BV6" s="13">
        <f t="shared" si="54"/>
        <v>-74.362467845830352</v>
      </c>
      <c r="BW6" s="14">
        <f t="shared" si="55"/>
        <v>-74.237665410381524</v>
      </c>
      <c r="BX6" s="15">
        <f t="shared" si="56"/>
        <v>-74.098485043208157</v>
      </c>
    </row>
    <row r="7" spans="1:76">
      <c r="A7">
        <f t="shared" si="57"/>
        <v>-155</v>
      </c>
      <c r="B7">
        <f t="shared" si="7"/>
        <v>-155</v>
      </c>
      <c r="E7" s="9">
        <f t="shared" si="0"/>
        <v>-41.982218134501785</v>
      </c>
      <c r="F7" s="10">
        <f t="shared" si="1"/>
        <v>-41.321306634299631</v>
      </c>
      <c r="G7" s="11">
        <f t="shared" si="2"/>
        <v>-41.155591214781587</v>
      </c>
      <c r="H7" s="12">
        <f t="shared" si="3"/>
        <v>-40.906660991437391</v>
      </c>
      <c r="I7" s="13">
        <f t="shared" si="4"/>
        <v>-40.740472451997078</v>
      </c>
      <c r="J7" s="14">
        <f t="shared" si="5"/>
        <v>-40.490842132569014</v>
      </c>
      <c r="K7" s="15">
        <f t="shared" si="6"/>
        <v>-40.324193162821864</v>
      </c>
      <c r="M7" s="9">
        <f t="shared" si="8"/>
        <v>-48.387459825787424</v>
      </c>
      <c r="N7" s="10">
        <f t="shared" si="9"/>
        <v>-48.773143767146699</v>
      </c>
      <c r="O7" s="11">
        <f t="shared" si="10"/>
        <v>-49.15679546819085</v>
      </c>
      <c r="P7" s="12">
        <f t="shared" si="11"/>
        <v>-49.538355322776951</v>
      </c>
      <c r="Q7" s="13">
        <f t="shared" si="12"/>
        <v>-49.917761811653321</v>
      </c>
      <c r="R7" s="14">
        <f t="shared" si="13"/>
        <v>-50.294951443021453</v>
      </c>
      <c r="S7" s="15">
        <f t="shared" si="14"/>
        <v>-50.66985869227252</v>
      </c>
      <c r="X7" s="9">
        <f t="shared" si="15"/>
        <v>-55.490885513998428</v>
      </c>
      <c r="Y7" s="10">
        <f t="shared" si="16"/>
        <v>-54.916415044828149</v>
      </c>
      <c r="Z7" s="11">
        <f t="shared" si="17"/>
        <v>-54.771596061470717</v>
      </c>
      <c r="AA7" s="12">
        <f t="shared" si="18"/>
        <v>-54.553490796796709</v>
      </c>
      <c r="AB7" s="13">
        <f t="shared" si="19"/>
        <v>-54.407511248018302</v>
      </c>
      <c r="AC7" s="14">
        <f t="shared" si="20"/>
        <v>-54.187692178208543</v>
      </c>
      <c r="AD7" s="15">
        <f t="shared" si="21"/>
        <v>-54.040587845435041</v>
      </c>
      <c r="AF7" s="9">
        <f t="shared" si="22"/>
        <v>-60.721005281557517</v>
      </c>
      <c r="AG7" s="10">
        <f t="shared" si="23"/>
        <v>-61.010224874214579</v>
      </c>
      <c r="AH7" s="11">
        <f t="shared" si="24"/>
        <v>-61.294156651315284</v>
      </c>
      <c r="AI7" s="12">
        <f t="shared" si="25"/>
        <v>-61.572641126074053</v>
      </c>
      <c r="AJ7" s="13">
        <f t="shared" si="26"/>
        <v>-61.845515635288251</v>
      </c>
      <c r="AK7" s="14">
        <f t="shared" si="27"/>
        <v>-62.112614503090711</v>
      </c>
      <c r="AL7" s="15">
        <f t="shared" si="28"/>
        <v>-62.373769233441081</v>
      </c>
      <c r="AQ7" s="9">
        <f t="shared" si="29"/>
        <v>-63.735834915219058</v>
      </c>
      <c r="AR7" s="10">
        <f t="shared" si="30"/>
        <v>-63.278574491412066</v>
      </c>
      <c r="AS7" s="11">
        <f t="shared" si="31"/>
        <v>-63.161932021762446</v>
      </c>
      <c r="AT7" s="12">
        <f t="shared" si="32"/>
        <v>-62.985271763932353</v>
      </c>
      <c r="AU7" s="13">
        <f t="shared" si="33"/>
        <v>-62.866384488046812</v>
      </c>
      <c r="AV7" s="14">
        <f t="shared" si="34"/>
        <v>-62.686412148282479</v>
      </c>
      <c r="AW7" s="15">
        <f t="shared" si="35"/>
        <v>-62.56535313865119</v>
      </c>
      <c r="AY7" s="9">
        <f t="shared" si="36"/>
        <v>-67.316774554931342</v>
      </c>
      <c r="AZ7" s="10">
        <f t="shared" si="37"/>
        <v>-67.469562720269806</v>
      </c>
      <c r="BA7" s="11">
        <f t="shared" si="38"/>
        <v>-67.612755142536471</v>
      </c>
      <c r="BB7" s="12">
        <f t="shared" si="39"/>
        <v>-67.746166166195195</v>
      </c>
      <c r="BC7" s="13">
        <f t="shared" si="40"/>
        <v>-67.86961849801601</v>
      </c>
      <c r="BD7" s="14">
        <f t="shared" si="41"/>
        <v>-67.982944254800174</v>
      </c>
      <c r="BE7" s="15">
        <f t="shared" si="42"/>
        <v>-68.085985997366009</v>
      </c>
      <c r="BJ7" s="9">
        <f t="shared" si="43"/>
        <v>-70.431709603224533</v>
      </c>
      <c r="BK7" s="10">
        <f t="shared" si="44"/>
        <v>-70.212163355531288</v>
      </c>
      <c r="BL7" s="11">
        <f t="shared" si="45"/>
        <v>-70.152801881114868</v>
      </c>
      <c r="BM7" s="12">
        <f t="shared" si="46"/>
        <v>-70.060467291173282</v>
      </c>
      <c r="BN7" s="13">
        <f t="shared" si="47"/>
        <v>-69.996739651818331</v>
      </c>
      <c r="BO7" s="14">
        <f t="shared" si="48"/>
        <v>-69.89793268053289</v>
      </c>
      <c r="BP7" s="15">
        <f t="shared" si="49"/>
        <v>-69.829942228804384</v>
      </c>
      <c r="BR7" s="9">
        <f t="shared" si="50"/>
        <v>-70.912302881974696</v>
      </c>
      <c r="BS7" s="10">
        <f t="shared" si="51"/>
        <v>-70.835608812081716</v>
      </c>
      <c r="BT7" s="11">
        <f t="shared" si="52"/>
        <v>-70.74670608841933</v>
      </c>
      <c r="BU7" s="12">
        <f t="shared" si="53"/>
        <v>-70.645763147969859</v>
      </c>
      <c r="BV7" s="13">
        <f t="shared" si="54"/>
        <v>-70.532967512182196</v>
      </c>
      <c r="BW7" s="14">
        <f t="shared" si="55"/>
        <v>-70.40852415281384</v>
      </c>
      <c r="BX7" s="15">
        <f t="shared" si="56"/>
        <v>-70.272653773134635</v>
      </c>
    </row>
    <row r="8" spans="1:76">
      <c r="A8">
        <f t="shared" si="57"/>
        <v>-150</v>
      </c>
      <c r="B8">
        <f t="shared" si="7"/>
        <v>-150</v>
      </c>
      <c r="E8" s="9">
        <f t="shared" si="0"/>
        <v>-39.944728495473576</v>
      </c>
      <c r="F8" s="10">
        <f t="shared" si="1"/>
        <v>-39.334623397028373</v>
      </c>
      <c r="G8" s="11">
        <f t="shared" si="2"/>
        <v>-39.181498056648095</v>
      </c>
      <c r="H8" s="12">
        <f t="shared" si="3"/>
        <v>-38.951370228786679</v>
      </c>
      <c r="I8" s="13">
        <f t="shared" si="4"/>
        <v>-38.797661805154327</v>
      </c>
      <c r="J8" s="14">
        <f t="shared" si="5"/>
        <v>-38.566670015758611</v>
      </c>
      <c r="K8" s="15">
        <f t="shared" si="6"/>
        <v>-38.412392643516583</v>
      </c>
      <c r="M8" s="9">
        <f t="shared" si="8"/>
        <v>-45.80012177264117</v>
      </c>
      <c r="N8" s="10">
        <f t="shared" si="9"/>
        <v>-46.148803850267065</v>
      </c>
      <c r="O8" s="11">
        <f t="shared" si="10"/>
        <v>-46.495137985217688</v>
      </c>
      <c r="P8" s="12">
        <f t="shared" si="11"/>
        <v>-46.839065310695808</v>
      </c>
      <c r="Q8" s="13">
        <f t="shared" si="12"/>
        <v>-47.180525513556717</v>
      </c>
      <c r="R8" s="14">
        <f t="shared" si="13"/>
        <v>-47.51945680984921</v>
      </c>
      <c r="S8" s="15">
        <f t="shared" si="14"/>
        <v>-47.855795921351834</v>
      </c>
      <c r="X8" s="9">
        <f t="shared" si="15"/>
        <v>-53.006848222173709</v>
      </c>
      <c r="Y8" s="10">
        <f t="shared" si="16"/>
        <v>-52.502604345053349</v>
      </c>
      <c r="Z8" s="11">
        <f t="shared" si="17"/>
        <v>-52.375173957379999</v>
      </c>
      <c r="AA8" s="12">
        <f t="shared" si="18"/>
        <v>-52.183024198936288</v>
      </c>
      <c r="AB8" s="13">
        <f t="shared" si="19"/>
        <v>-52.054262982988405</v>
      </c>
      <c r="AC8" s="14">
        <f t="shared" si="20"/>
        <v>-51.86014277406391</v>
      </c>
      <c r="AD8" s="15">
        <f t="shared" si="21"/>
        <v>-51.73008493129322</v>
      </c>
      <c r="AF8" s="9">
        <f t="shared" si="22"/>
        <v>-57.485079924439638</v>
      </c>
      <c r="AG8" s="10">
        <f t="shared" si="23"/>
        <v>-57.7253168494207</v>
      </c>
      <c r="AH8" s="11">
        <f t="shared" si="24"/>
        <v>-57.96020474505935</v>
      </c>
      <c r="AI8" s="12">
        <f t="shared" si="25"/>
        <v>-58.189623880089876</v>
      </c>
      <c r="AJ8" s="13">
        <f t="shared" si="26"/>
        <v>-58.413453884769218</v>
      </c>
      <c r="AK8" s="14">
        <f t="shared" si="27"/>
        <v>-58.631573939452821</v>
      </c>
      <c r="AL8" s="15">
        <f t="shared" si="28"/>
        <v>-58.843862977282669</v>
      </c>
      <c r="AQ8" s="9">
        <f t="shared" si="29"/>
        <v>-60.858574362490813</v>
      </c>
      <c r="AR8" s="10">
        <f t="shared" si="30"/>
        <v>-60.484744093617905</v>
      </c>
      <c r="AS8" s="11">
        <f t="shared" si="31"/>
        <v>-60.388881538101494</v>
      </c>
      <c r="AT8" s="12">
        <f t="shared" si="32"/>
        <v>-60.243321762763713</v>
      </c>
      <c r="AU8" s="13">
        <f t="shared" si="33"/>
        <v>-60.145118108692728</v>
      </c>
      <c r="AV8" s="14">
        <f t="shared" si="34"/>
        <v>-59.996089946061815</v>
      </c>
      <c r="AW8" s="15">
        <f t="shared" si="35"/>
        <v>-59.895602749037515</v>
      </c>
      <c r="AY8" s="9">
        <f t="shared" si="36"/>
        <v>-63.62776707186589</v>
      </c>
      <c r="AZ8" s="10">
        <f t="shared" si="37"/>
        <v>-63.735081283215422</v>
      </c>
      <c r="BA8" s="11">
        <f t="shared" si="38"/>
        <v>-63.833929849547722</v>
      </c>
      <c r="BB8" s="12">
        <f t="shared" si="39"/>
        <v>-63.924216077060208</v>
      </c>
      <c r="BC8" s="13">
        <f t="shared" si="40"/>
        <v>-64.005850364403827</v>
      </c>
      <c r="BD8" s="14">
        <f t="shared" si="41"/>
        <v>-64.078750623522268</v>
      </c>
      <c r="BE8" s="15">
        <f t="shared" si="42"/>
        <v>-64.14284267403869</v>
      </c>
      <c r="BJ8" s="9">
        <f t="shared" si="43"/>
        <v>-67.160365096273708</v>
      </c>
      <c r="BK8" s="10">
        <f t="shared" si="44"/>
        <v>-67.01788206151609</v>
      </c>
      <c r="BL8" s="11">
        <f t="shared" si="45"/>
        <v>-66.978281601149803</v>
      </c>
      <c r="BM8" s="12">
        <f t="shared" si="46"/>
        <v>-66.915928660799125</v>
      </c>
      <c r="BN8" s="13">
        <f t="shared" si="47"/>
        <v>-66.872404279756424</v>
      </c>
      <c r="BO8" s="14">
        <f t="shared" si="48"/>
        <v>-66.804206151384236</v>
      </c>
      <c r="BP8" s="15">
        <f t="shared" si="49"/>
        <v>-66.756813017511263</v>
      </c>
      <c r="BR8" s="9">
        <f t="shared" si="50"/>
        <v>-67.128740359702022</v>
      </c>
      <c r="BS8" s="10">
        <f t="shared" si="51"/>
        <v>-67.03886894955167</v>
      </c>
      <c r="BT8" s="11">
        <f t="shared" si="52"/>
        <v>-66.939070336607855</v>
      </c>
      <c r="BU8" s="12">
        <f t="shared" si="53"/>
        <v>-66.829473112982626</v>
      </c>
      <c r="BV8" s="13">
        <f t="shared" si="54"/>
        <v>-66.710215959761143</v>
      </c>
      <c r="BW8" s="14">
        <f t="shared" si="55"/>
        <v>-66.581446835141264</v>
      </c>
      <c r="BX8" s="15">
        <f t="shared" si="56"/>
        <v>-66.443322137885076</v>
      </c>
    </row>
    <row r="9" spans="1:76">
      <c r="A9">
        <f t="shared" si="57"/>
        <v>-145</v>
      </c>
      <c r="B9">
        <f t="shared" si="7"/>
        <v>-145</v>
      </c>
      <c r="E9" s="9">
        <f t="shared" si="0"/>
        <v>-37.647608199524356</v>
      </c>
      <c r="F9" s="10">
        <f t="shared" si="1"/>
        <v>-37.091588080293668</v>
      </c>
      <c r="G9" s="11">
        <f t="shared" si="2"/>
        <v>-36.951899968880433</v>
      </c>
      <c r="H9" s="12">
        <f t="shared" si="3"/>
        <v>-36.74186512394764</v>
      </c>
      <c r="I9" s="13">
        <f t="shared" si="4"/>
        <v>-36.601510181108829</v>
      </c>
      <c r="J9" s="14">
        <f t="shared" si="5"/>
        <v>-36.390485976613824</v>
      </c>
      <c r="K9" s="15">
        <f t="shared" si="6"/>
        <v>-36.249478650381796</v>
      </c>
      <c r="M9" s="9">
        <f t="shared" si="8"/>
        <v>-42.932920147011572</v>
      </c>
      <c r="N9" s="10">
        <f t="shared" si="9"/>
        <v>-43.244296202860248</v>
      </c>
      <c r="O9" s="11">
        <f t="shared" si="10"/>
        <v>-43.553147134783472</v>
      </c>
      <c r="P9" s="12">
        <f t="shared" si="11"/>
        <v>-43.859419375371012</v>
      </c>
      <c r="Q9" s="13">
        <f t="shared" si="12"/>
        <v>-44.163058410064629</v>
      </c>
      <c r="R9" s="14">
        <f t="shared" si="13"/>
        <v>-44.464008775909996</v>
      </c>
      <c r="S9" s="15">
        <f t="shared" si="14"/>
        <v>-44.762214061768319</v>
      </c>
      <c r="X9" s="9">
        <f t="shared" si="15"/>
        <v>-50.285200976510978</v>
      </c>
      <c r="Y9" s="10">
        <f t="shared" si="16"/>
        <v>-49.850800299290682</v>
      </c>
      <c r="Z9" s="11">
        <f t="shared" si="17"/>
        <v>-49.740742100792865</v>
      </c>
      <c r="AA9" s="12">
        <f t="shared" si="18"/>
        <v>-49.574581098503202</v>
      </c>
      <c r="AB9" s="13">
        <f t="shared" si="19"/>
        <v>-49.463098333278559</v>
      </c>
      <c r="AC9" s="14">
        <f t="shared" si="20"/>
        <v>-49.294823020355629</v>
      </c>
      <c r="AD9" s="15">
        <f t="shared" si="21"/>
        <v>-49.181945638950268</v>
      </c>
      <c r="AF9" s="9">
        <f t="shared" si="22"/>
        <v>-54.048073669368961</v>
      </c>
      <c r="AG9" s="10">
        <f t="shared" si="23"/>
        <v>-54.24377105168216</v>
      </c>
      <c r="AH9" s="11">
        <f t="shared" si="24"/>
        <v>-54.434312937730901</v>
      </c>
      <c r="AI9" s="12">
        <f t="shared" si="25"/>
        <v>-54.619614665508315</v>
      </c>
      <c r="AJ9" s="13">
        <f t="shared" si="26"/>
        <v>-54.79959215302808</v>
      </c>
      <c r="AK9" s="14">
        <f t="shared" si="27"/>
        <v>-54.974162040200717</v>
      </c>
      <c r="AL9" s="15">
        <f t="shared" si="28"/>
        <v>-55.143241835534255</v>
      </c>
      <c r="AQ9" s="9">
        <f t="shared" si="29"/>
        <v>-57.806971809776279</v>
      </c>
      <c r="AR9" s="10">
        <f t="shared" si="30"/>
        <v>-57.510087068115254</v>
      </c>
      <c r="AS9" s="11">
        <f t="shared" si="31"/>
        <v>-57.433505549595864</v>
      </c>
      <c r="AT9" s="12">
        <f t="shared" si="32"/>
        <v>-57.316890063280482</v>
      </c>
      <c r="AU9" s="13">
        <f t="shared" si="33"/>
        <v>-57.237994024639789</v>
      </c>
      <c r="AV9" s="14">
        <f t="shared" si="34"/>
        <v>-57.117938169129069</v>
      </c>
      <c r="AW9" s="15">
        <f t="shared" si="35"/>
        <v>-57.03676954113989</v>
      </c>
      <c r="AY9" s="9">
        <f t="shared" si="36"/>
        <v>-59.863378649840783</v>
      </c>
      <c r="AZ9" s="10">
        <f t="shared" si="37"/>
        <v>-59.932366812038957</v>
      </c>
      <c r="BA9" s="11">
        <f t="shared" si="38"/>
        <v>-59.993946984105413</v>
      </c>
      <c r="BB9" s="12">
        <f t="shared" si="39"/>
        <v>-60.048073121000556</v>
      </c>
      <c r="BC9" s="13">
        <f t="shared" si="40"/>
        <v>-60.094704438895825</v>
      </c>
      <c r="BD9" s="14">
        <f t="shared" si="41"/>
        <v>-60.133805564817948</v>
      </c>
      <c r="BE9" s="15">
        <f t="shared" si="42"/>
        <v>-60.165346667920531</v>
      </c>
      <c r="BJ9" s="9">
        <f t="shared" si="43"/>
        <v>-63.840254625296758</v>
      </c>
      <c r="BK9" s="10">
        <f t="shared" si="44"/>
        <v>-63.763268628854689</v>
      </c>
      <c r="BL9" s="11">
        <f t="shared" si="45"/>
        <v>-63.740515667083869</v>
      </c>
      <c r="BM9" s="12">
        <f t="shared" si="46"/>
        <v>-63.703770659785057</v>
      </c>
      <c r="BN9" s="13">
        <f t="shared" si="47"/>
        <v>-63.677535982906932</v>
      </c>
      <c r="BO9" s="14">
        <f t="shared" si="48"/>
        <v>-63.635587381720434</v>
      </c>
      <c r="BP9" s="15">
        <f t="shared" si="49"/>
        <v>-63.605897038077494</v>
      </c>
      <c r="BR9" s="9">
        <f t="shared" si="50"/>
        <v>-63.364171016670795</v>
      </c>
      <c r="BS9" s="10">
        <f t="shared" si="51"/>
        <v>-63.260692783287567</v>
      </c>
      <c r="BT9" s="11">
        <f t="shared" si="52"/>
        <v>-63.148955628660261</v>
      </c>
      <c r="BU9" s="12">
        <f t="shared" si="53"/>
        <v>-63.029062683036678</v>
      </c>
      <c r="BV9" s="13">
        <f t="shared" si="54"/>
        <v>-62.901122715660073</v>
      </c>
      <c r="BW9" s="14">
        <f t="shared" si="55"/>
        <v>-62.765249687314615</v>
      </c>
      <c r="BX9" s="15">
        <f t="shared" si="56"/>
        <v>-62.621562296665125</v>
      </c>
    </row>
    <row r="10" spans="1:76">
      <c r="A10">
        <f t="shared" si="57"/>
        <v>-140</v>
      </c>
      <c r="B10">
        <f t="shared" si="7"/>
        <v>-140</v>
      </c>
      <c r="E10" s="9">
        <f t="shared" si="0"/>
        <v>-35.127830408633756</v>
      </c>
      <c r="F10" s="10">
        <f t="shared" si="1"/>
        <v>-34.627766291620567</v>
      </c>
      <c r="G10" s="11">
        <f t="shared" si="2"/>
        <v>-34.502014706379668</v>
      </c>
      <c r="H10" s="12">
        <f t="shared" si="3"/>
        <v>-34.312844820691325</v>
      </c>
      <c r="I10" s="13">
        <f t="shared" si="4"/>
        <v>-34.186373141339089</v>
      </c>
      <c r="J10" s="14">
        <f t="shared" si="5"/>
        <v>-33.996133516389307</v>
      </c>
      <c r="K10" s="15">
        <f t="shared" si="6"/>
        <v>-33.86895556158867</v>
      </c>
      <c r="M10" s="9">
        <f t="shared" si="8"/>
        <v>-39.837595123495845</v>
      </c>
      <c r="N10" s="10">
        <f t="shared" si="9"/>
        <v>-40.112259552570023</v>
      </c>
      <c r="O10" s="11">
        <f t="shared" si="10"/>
        <v>-40.384346994139648</v>
      </c>
      <c r="P10" s="12">
        <f t="shared" si="11"/>
        <v>-40.653811510375903</v>
      </c>
      <c r="Q10" s="13">
        <f t="shared" si="12"/>
        <v>-40.920606633892078</v>
      </c>
      <c r="R10" s="14">
        <f t="shared" si="13"/>
        <v>-41.184685377671428</v>
      </c>
      <c r="S10" s="15">
        <f t="shared" si="14"/>
        <v>-41.446000246216613</v>
      </c>
      <c r="X10" s="9">
        <f t="shared" si="15"/>
        <v>-47.378386401971632</v>
      </c>
      <c r="Y10" s="10">
        <f t="shared" si="16"/>
        <v>-47.011975594341834</v>
      </c>
      <c r="Z10" s="11">
        <f t="shared" si="17"/>
        <v>-46.918893599490474</v>
      </c>
      <c r="AA10" s="12">
        <f t="shared" si="18"/>
        <v>-46.778177190731761</v>
      </c>
      <c r="AB10" s="13">
        <f t="shared" si="19"/>
        <v>-46.683643045724359</v>
      </c>
      <c r="AC10" s="14">
        <f t="shared" si="20"/>
        <v>-46.540766826788982</v>
      </c>
      <c r="AD10" s="15">
        <f t="shared" si="21"/>
        <v>-46.444805049049414</v>
      </c>
      <c r="AF10" s="9">
        <f t="shared" si="22"/>
        <v>-50.469023165383803</v>
      </c>
      <c r="AG10" s="10">
        <f t="shared" si="23"/>
        <v>-50.624297353507671</v>
      </c>
      <c r="AH10" s="11">
        <f t="shared" si="24"/>
        <v>-50.774752032320137</v>
      </c>
      <c r="AI10" s="12">
        <f t="shared" si="25"/>
        <v>-50.92033012819978</v>
      </c>
      <c r="AJ10" s="13">
        <f t="shared" si="26"/>
        <v>-51.060975585360936</v>
      </c>
      <c r="AK10" s="14">
        <f t="shared" si="27"/>
        <v>-51.196633455535981</v>
      </c>
      <c r="AL10" s="15">
        <f t="shared" si="28"/>
        <v>-51.327249988336078</v>
      </c>
      <c r="AQ10" s="9">
        <f t="shared" si="29"/>
        <v>-54.635146885967082</v>
      </c>
      <c r="AR10" s="10">
        <f t="shared" si="30"/>
        <v>-54.408905404664537</v>
      </c>
      <c r="AS10" s="11">
        <f t="shared" si="31"/>
        <v>-54.350102964038747</v>
      </c>
      <c r="AT10" s="12">
        <f t="shared" si="32"/>
        <v>-54.260235848086261</v>
      </c>
      <c r="AU10" s="13">
        <f t="shared" si="33"/>
        <v>-54.199222068671119</v>
      </c>
      <c r="AV10" s="14">
        <f t="shared" si="34"/>
        <v>-54.106059274292704</v>
      </c>
      <c r="AW10" s="15">
        <f t="shared" si="35"/>
        <v>-54.042862722773172</v>
      </c>
      <c r="AY10" s="9">
        <f t="shared" si="36"/>
        <v>-56.057503314233777</v>
      </c>
      <c r="AZ10" s="10">
        <f t="shared" si="37"/>
        <v>-56.093152423030453</v>
      </c>
      <c r="BA10" s="11">
        <f t="shared" si="38"/>
        <v>-56.122337496825082</v>
      </c>
      <c r="BB10" s="12">
        <f t="shared" si="39"/>
        <v>-56.145041600667128</v>
      </c>
      <c r="BC10" s="13">
        <f t="shared" si="40"/>
        <v>-56.161251520034575</v>
      </c>
      <c r="BD10" s="14">
        <f t="shared" si="41"/>
        <v>-56.170957798621181</v>
      </c>
      <c r="BE10" s="15">
        <f t="shared" si="42"/>
        <v>-56.174154765481788</v>
      </c>
      <c r="BJ10" s="9">
        <f t="shared" si="43"/>
        <v>-60.498900288647327</v>
      </c>
      <c r="BK10" s="10">
        <f t="shared" si="44"/>
        <v>-60.479310260058611</v>
      </c>
      <c r="BL10" s="11">
        <f t="shared" si="45"/>
        <v>-60.471332767274433</v>
      </c>
      <c r="BM10" s="12">
        <f t="shared" si="46"/>
        <v>-60.457060228210111</v>
      </c>
      <c r="BN10" s="13">
        <f t="shared" si="47"/>
        <v>-60.446009413877746</v>
      </c>
      <c r="BO10" s="14">
        <f t="shared" si="48"/>
        <v>-60.427132978031899</v>
      </c>
      <c r="BP10" s="15">
        <f t="shared" si="49"/>
        <v>-60.413017510487222</v>
      </c>
      <c r="BR10" s="9">
        <f t="shared" si="50"/>
        <v>-59.622151240126968</v>
      </c>
      <c r="BS10" s="10">
        <f t="shared" si="51"/>
        <v>-59.50473395047257</v>
      </c>
      <c r="BT10" s="11">
        <f t="shared" si="52"/>
        <v>-59.380341410509764</v>
      </c>
      <c r="BU10" s="12">
        <f t="shared" si="53"/>
        <v>-59.249058966255269</v>
      </c>
      <c r="BV10" s="13">
        <f t="shared" si="54"/>
        <v>-59.11097520397751</v>
      </c>
      <c r="BW10" s="14">
        <f t="shared" si="55"/>
        <v>-58.96618168644401</v>
      </c>
      <c r="BX10" s="15">
        <f t="shared" si="56"/>
        <v>-58.814772688872353</v>
      </c>
    </row>
    <row r="11" spans="1:76">
      <c r="A11">
        <f t="shared" si="57"/>
        <v>-135</v>
      </c>
      <c r="B11">
        <f t="shared" si="7"/>
        <v>-135</v>
      </c>
      <c r="E11" s="9">
        <f t="shared" si="0"/>
        <v>-32.419604545089321</v>
      </c>
      <c r="F11" s="10">
        <f t="shared" si="1"/>
        <v>-31.976317740381724</v>
      </c>
      <c r="G11" s="11">
        <f t="shared" si="2"/>
        <v>-31.864739556348674</v>
      </c>
      <c r="H11" s="12">
        <f t="shared" si="3"/>
        <v>-31.696813173592219</v>
      </c>
      <c r="I11" s="13">
        <f t="shared" si="4"/>
        <v>-31.584492453001591</v>
      </c>
      <c r="J11" s="14">
        <f t="shared" si="5"/>
        <v>-31.415461684385487</v>
      </c>
      <c r="K11" s="15">
        <f t="shared" si="6"/>
        <v>-31.302410953223369</v>
      </c>
      <c r="M11" s="9">
        <f t="shared" si="8"/>
        <v>-36.558028199277778</v>
      </c>
      <c r="N11" s="10">
        <f t="shared" si="9"/>
        <v>-36.797065909028539</v>
      </c>
      <c r="O11" s="11">
        <f t="shared" si="10"/>
        <v>-37.033577911293563</v>
      </c>
      <c r="P11" s="12">
        <f t="shared" si="11"/>
        <v>-37.267526554056182</v>
      </c>
      <c r="Q11" s="13">
        <f t="shared" si="12"/>
        <v>-37.498873956184241</v>
      </c>
      <c r="R11" s="14">
        <f t="shared" si="13"/>
        <v>-37.727582020357758</v>
      </c>
      <c r="S11" s="15">
        <f t="shared" si="14"/>
        <v>-37.953612446797074</v>
      </c>
      <c r="X11" s="9">
        <f t="shared" si="15"/>
        <v>-44.329448982451481</v>
      </c>
      <c r="Y11" s="10">
        <f t="shared" si="16"/>
        <v>-44.028479927302691</v>
      </c>
      <c r="Z11" s="11">
        <f t="shared" si="17"/>
        <v>-43.951789202054677</v>
      </c>
      <c r="AA11" s="12">
        <f t="shared" si="18"/>
        <v>-43.835679050187643</v>
      </c>
      <c r="AB11" s="13">
        <f t="shared" si="19"/>
        <v>-43.757560656458843</v>
      </c>
      <c r="AC11" s="14">
        <f t="shared" si="20"/>
        <v>-43.639323205676128</v>
      </c>
      <c r="AD11" s="15">
        <f t="shared" si="21"/>
        <v>-43.559796088967907</v>
      </c>
      <c r="AF11" s="9">
        <f t="shared" si="22"/>
        <v>-46.790450014768666</v>
      </c>
      <c r="AG11" s="10">
        <f t="shared" si="23"/>
        <v>-46.908829950307208</v>
      </c>
      <c r="AH11" s="11">
        <f t="shared" si="24"/>
        <v>-47.022797605887718</v>
      </c>
      <c r="AI11" s="12">
        <f t="shared" si="25"/>
        <v>-47.132316439278597</v>
      </c>
      <c r="AJ11" s="13">
        <f t="shared" si="26"/>
        <v>-47.237350972966041</v>
      </c>
      <c r="AK11" s="14">
        <f t="shared" si="27"/>
        <v>-47.337866844729753</v>
      </c>
      <c r="AL11" s="15">
        <f t="shared" si="28"/>
        <v>-47.433830857518018</v>
      </c>
      <c r="AQ11" s="9">
        <f t="shared" si="29"/>
        <v>-51.382469628387476</v>
      </c>
      <c r="AR11" s="10">
        <f t="shared" si="30"/>
        <v>-51.221288039145669</v>
      </c>
      <c r="AS11" s="11">
        <f t="shared" si="31"/>
        <v>-51.178909092706427</v>
      </c>
      <c r="AT11" s="12">
        <f t="shared" si="32"/>
        <v>-51.113789202837133</v>
      </c>
      <c r="AU11" s="13">
        <f t="shared" si="33"/>
        <v>-51.069345762633766</v>
      </c>
      <c r="AV11" s="14">
        <f t="shared" si="34"/>
        <v>-51.001142544884637</v>
      </c>
      <c r="AW11" s="15">
        <f t="shared" si="35"/>
        <v>-50.954652641563683</v>
      </c>
      <c r="AY11" s="9">
        <f t="shared" si="36"/>
        <v>-52.232103403067164</v>
      </c>
      <c r="AZ11" s="10">
        <f t="shared" si="37"/>
        <v>-52.237944030770031</v>
      </c>
      <c r="BA11" s="11">
        <f t="shared" si="38"/>
        <v>-52.238152217975347</v>
      </c>
      <c r="BB11" s="12">
        <f t="shared" si="39"/>
        <v>-52.232727869581716</v>
      </c>
      <c r="BC11" s="13">
        <f t="shared" si="40"/>
        <v>-52.221673462790797</v>
      </c>
      <c r="BD11" s="14">
        <f t="shared" si="41"/>
        <v>-52.204994041580633</v>
      </c>
      <c r="BE11" s="15">
        <f t="shared" si="42"/>
        <v>-52.182697205469033</v>
      </c>
      <c r="BJ11" s="9">
        <f t="shared" si="43"/>
        <v>-57.154457759599339</v>
      </c>
      <c r="BK11" s="10">
        <f t="shared" si="44"/>
        <v>-57.186478442213776</v>
      </c>
      <c r="BL11" s="11">
        <f t="shared" si="45"/>
        <v>-57.191780858151148</v>
      </c>
      <c r="BM11" s="12">
        <f t="shared" si="46"/>
        <v>-57.197704987612461</v>
      </c>
      <c r="BN11" s="13">
        <f t="shared" si="47"/>
        <v>-57.20030083432178</v>
      </c>
      <c r="BO11" s="14">
        <f t="shared" si="48"/>
        <v>-57.202163594953298</v>
      </c>
      <c r="BP11" s="15">
        <f t="shared" si="49"/>
        <v>-57.202051247628077</v>
      </c>
      <c r="BR11" s="9">
        <f t="shared" si="50"/>
        <v>-55.906425585339818</v>
      </c>
      <c r="BS11" s="10">
        <f t="shared" si="51"/>
        <v>-55.774783494185279</v>
      </c>
      <c r="BT11" s="11">
        <f t="shared" si="52"/>
        <v>-55.637192248548978</v>
      </c>
      <c r="BU11" s="12">
        <f t="shared" si="53"/>
        <v>-55.493723982730813</v>
      </c>
      <c r="BV11" s="13">
        <f t="shared" si="54"/>
        <v>-55.344452697883405</v>
      </c>
      <c r="BW11" s="14">
        <f t="shared" si="55"/>
        <v>-55.189454099608611</v>
      </c>
      <c r="BX11" s="15">
        <f t="shared" si="56"/>
        <v>-55.028805436999832</v>
      </c>
    </row>
    <row r="12" spans="1:76">
      <c r="A12">
        <f t="shared" si="57"/>
        <v>-130</v>
      </c>
      <c r="B12">
        <f t="shared" si="7"/>
        <v>-130</v>
      </c>
      <c r="E12" s="9">
        <f t="shared" si="0"/>
        <v>-29.553860101005501</v>
      </c>
      <c r="F12" s="10">
        <f t="shared" si="1"/>
        <v>-29.167442092088759</v>
      </c>
      <c r="G12" s="11">
        <f t="shared" si="2"/>
        <v>-29.070089178236369</v>
      </c>
      <c r="H12" s="12">
        <f t="shared" si="3"/>
        <v>-28.923505610593434</v>
      </c>
      <c r="I12" s="13">
        <f t="shared" si="4"/>
        <v>-28.825416307657115</v>
      </c>
      <c r="J12" s="14">
        <f t="shared" si="5"/>
        <v>-28.677736305935547</v>
      </c>
      <c r="K12" s="15">
        <f t="shared" si="6"/>
        <v>-28.578921462448985</v>
      </c>
      <c r="M12" s="9">
        <f t="shared" si="8"/>
        <v>-33.130837993328065</v>
      </c>
      <c r="N12" s="10">
        <f t="shared" si="9"/>
        <v>-33.335542847437104</v>
      </c>
      <c r="O12" s="11">
        <f t="shared" si="10"/>
        <v>-33.537853132042848</v>
      </c>
      <c r="P12" s="12">
        <f t="shared" si="11"/>
        <v>-33.737739111027324</v>
      </c>
      <c r="Q12" s="13">
        <f t="shared" si="12"/>
        <v>-33.935171010686631</v>
      </c>
      <c r="R12" s="14">
        <f t="shared" si="13"/>
        <v>-34.130119031424037</v>
      </c>
      <c r="S12" s="15">
        <f t="shared" si="14"/>
        <v>-34.32255335988328</v>
      </c>
      <c r="X12" s="9">
        <f t="shared" si="15"/>
        <v>-41.173441836479007</v>
      </c>
      <c r="Y12" s="10">
        <f t="shared" si="16"/>
        <v>-40.935157257077968</v>
      </c>
      <c r="Z12" s="11">
        <f t="shared" si="17"/>
        <v>-40.874206270398282</v>
      </c>
      <c r="AA12" s="12">
        <f t="shared" si="18"/>
        <v>-40.781753784610842</v>
      </c>
      <c r="AB12" s="13">
        <f t="shared" si="19"/>
        <v>-40.719438001324257</v>
      </c>
      <c r="AC12" s="14">
        <f t="shared" si="20"/>
        <v>-40.624948668836957</v>
      </c>
      <c r="AD12" s="15">
        <f t="shared" si="21"/>
        <v>-40.561281917264566</v>
      </c>
      <c r="AF12" s="9">
        <f t="shared" si="22"/>
        <v>-43.043592437147822</v>
      </c>
      <c r="AG12" s="10">
        <f t="shared" si="23"/>
        <v>-43.127989667656855</v>
      </c>
      <c r="AH12" s="11">
        <f t="shared" si="24"/>
        <v>-43.208410886344573</v>
      </c>
      <c r="AI12" s="12">
        <f t="shared" si="25"/>
        <v>-43.284834381696193</v>
      </c>
      <c r="AJ12" s="13">
        <f t="shared" si="26"/>
        <v>-43.357239385859906</v>
      </c>
      <c r="AK12" s="14">
        <f t="shared" si="27"/>
        <v>-43.42560610007456</v>
      </c>
      <c r="AL12" s="15">
        <f t="shared" si="28"/>
        <v>-43.489915719184594</v>
      </c>
      <c r="AQ12" s="9">
        <f t="shared" si="29"/>
        <v>-48.078218889831199</v>
      </c>
      <c r="AR12" s="10">
        <f t="shared" si="30"/>
        <v>-47.977361170839416</v>
      </c>
      <c r="AS12" s="11">
        <f t="shared" si="31"/>
        <v>-47.95024086967944</v>
      </c>
      <c r="AT12" s="12">
        <f t="shared" si="32"/>
        <v>-47.90813709643156</v>
      </c>
      <c r="AU12" s="13">
        <f t="shared" si="33"/>
        <v>-47.879121322457372</v>
      </c>
      <c r="AV12" s="14">
        <f t="shared" si="34"/>
        <v>-47.8341818168619</v>
      </c>
      <c r="AW12" s="15">
        <f t="shared" si="35"/>
        <v>-47.803280676855039</v>
      </c>
      <c r="AY12" s="9">
        <f t="shared" si="36"/>
        <v>-48.402587319964539</v>
      </c>
      <c r="AZ12" s="10">
        <f t="shared" si="37"/>
        <v>-48.38115458148215</v>
      </c>
      <c r="BA12" s="11">
        <f t="shared" si="38"/>
        <v>-48.354821922391395</v>
      </c>
      <c r="BB12" s="12">
        <f t="shared" si="39"/>
        <v>-48.323598934597079</v>
      </c>
      <c r="BC12" s="13">
        <f t="shared" si="40"/>
        <v>-48.287496960346694</v>
      </c>
      <c r="BD12" s="14">
        <f t="shared" si="41"/>
        <v>-48.246529072482289</v>
      </c>
      <c r="BE12" s="15">
        <f t="shared" si="42"/>
        <v>-48.200710051803789</v>
      </c>
      <c r="BJ12" s="9">
        <f t="shared" si="43"/>
        <v>-53.820035643000125</v>
      </c>
      <c r="BK12" s="10">
        <f t="shared" si="44"/>
        <v>-53.899449647587943</v>
      </c>
      <c r="BL12" s="11">
        <f t="shared" si="45"/>
        <v>-53.916932851288927</v>
      </c>
      <c r="BM12" s="12">
        <f t="shared" si="46"/>
        <v>-53.941374041547604</v>
      </c>
      <c r="BN12" s="13">
        <f t="shared" si="47"/>
        <v>-53.956477177882732</v>
      </c>
      <c r="BO12" s="14">
        <f t="shared" si="48"/>
        <v>-53.977342349348255</v>
      </c>
      <c r="BP12" s="15">
        <f t="shared" si="49"/>
        <v>-53.990057801161633</v>
      </c>
      <c r="BR12" s="9">
        <f t="shared" si="50"/>
        <v>-52.220959135509226</v>
      </c>
      <c r="BS12" s="10">
        <f t="shared" si="51"/>
        <v>-52.0748282524589</v>
      </c>
      <c r="BT12" s="11">
        <f t="shared" si="52"/>
        <v>-51.923592852230165</v>
      </c>
      <c r="BU12" s="12">
        <f t="shared" si="53"/>
        <v>-51.767314811297489</v>
      </c>
      <c r="BV12" s="13">
        <f t="shared" si="54"/>
        <v>-51.606057052940287</v>
      </c>
      <c r="BW12" s="14">
        <f t="shared" si="55"/>
        <v>-51.439883444520063</v>
      </c>
      <c r="BX12" s="15">
        <f t="shared" si="56"/>
        <v>-51.26885869651008</v>
      </c>
    </row>
    <row r="13" spans="1:76">
      <c r="A13">
        <f t="shared" si="57"/>
        <v>-125</v>
      </c>
      <c r="B13">
        <f t="shared" si="7"/>
        <v>-125</v>
      </c>
      <c r="E13" s="9">
        <f t="shared" si="0"/>
        <v>-26.558186016898251</v>
      </c>
      <c r="F13" s="10">
        <f t="shared" si="1"/>
        <v>-26.228260204974941</v>
      </c>
      <c r="G13" s="11">
        <f t="shared" si="2"/>
        <v>-26.145063538922678</v>
      </c>
      <c r="H13" s="12">
        <f t="shared" si="3"/>
        <v>-26.019738010418877</v>
      </c>
      <c r="I13" s="13">
        <f t="shared" si="4"/>
        <v>-25.935836078345762</v>
      </c>
      <c r="J13" s="14">
        <f t="shared" si="5"/>
        <v>-25.809459416616587</v>
      </c>
      <c r="K13" s="15">
        <f t="shared" si="6"/>
        <v>-25.724861233392591</v>
      </c>
      <c r="M13" s="9">
        <f t="shared" si="8"/>
        <v>-29.586414190908194</v>
      </c>
      <c r="N13" s="10">
        <f t="shared" si="9"/>
        <v>-29.758109168245067</v>
      </c>
      <c r="O13" s="11">
        <f t="shared" si="10"/>
        <v>-29.927599897637954</v>
      </c>
      <c r="P13" s="12">
        <f t="shared" si="11"/>
        <v>-30.094863675302861</v>
      </c>
      <c r="Q13" s="13">
        <f t="shared" si="12"/>
        <v>-30.259877866981999</v>
      </c>
      <c r="R13" s="14">
        <f t="shared" si="13"/>
        <v>-30.422619916853197</v>
      </c>
      <c r="S13" s="15">
        <f t="shared" si="14"/>
        <v>-30.583067356642143</v>
      </c>
      <c r="X13" s="9">
        <f t="shared" si="15"/>
        <v>-37.939003909414481</v>
      </c>
      <c r="Y13" s="10">
        <f t="shared" si="16"/>
        <v>-37.760716060913921</v>
      </c>
      <c r="Z13" s="11">
        <f t="shared" si="17"/>
        <v>-37.714858823840537</v>
      </c>
      <c r="AA13" s="12">
        <f t="shared" si="18"/>
        <v>-37.64511499728922</v>
      </c>
      <c r="AB13" s="13">
        <f t="shared" si="19"/>
        <v>-37.597982645710658</v>
      </c>
      <c r="AC13" s="14">
        <f t="shared" si="20"/>
        <v>-37.526333189757018</v>
      </c>
      <c r="AD13" s="15">
        <f t="shared" si="21"/>
        <v>-37.477935153828369</v>
      </c>
      <c r="AF13" s="9">
        <f t="shared" si="22"/>
        <v>-39.252061578230062</v>
      </c>
      <c r="AG13" s="10">
        <f t="shared" si="23"/>
        <v>-39.304826727099368</v>
      </c>
      <c r="AH13" s="11">
        <f t="shared" si="24"/>
        <v>-39.354057148760333</v>
      </c>
      <c r="AI13" s="12">
        <f t="shared" si="25"/>
        <v>-39.399741654029604</v>
      </c>
      <c r="AJ13" s="13">
        <f t="shared" si="26"/>
        <v>-39.441869822025595</v>
      </c>
      <c r="AK13" s="14">
        <f t="shared" si="27"/>
        <v>-39.48043201084306</v>
      </c>
      <c r="AL13" s="15">
        <f t="shared" si="28"/>
        <v>-39.515419367490438</v>
      </c>
      <c r="AQ13" s="9">
        <f t="shared" si="29"/>
        <v>-44.744846191815334</v>
      </c>
      <c r="AR13" s="10">
        <f t="shared" si="30"/>
        <v>-44.700381248844913</v>
      </c>
      <c r="AS13" s="11">
        <f t="shared" si="31"/>
        <v>-44.687543177973154</v>
      </c>
      <c r="AT13" s="12">
        <f t="shared" si="32"/>
        <v>-44.666997104562441</v>
      </c>
      <c r="AU13" s="13">
        <f t="shared" si="33"/>
        <v>-44.652441363677795</v>
      </c>
      <c r="AV13" s="14">
        <f t="shared" si="34"/>
        <v>-44.629321947479262</v>
      </c>
      <c r="AW13" s="15">
        <f t="shared" si="35"/>
        <v>-44.613052868854169</v>
      </c>
      <c r="AY13" s="9">
        <f t="shared" si="36"/>
        <v>-44.580639252974407</v>
      </c>
      <c r="AZ13" s="10">
        <f t="shared" si="37"/>
        <v>-44.533771654325172</v>
      </c>
      <c r="BA13" s="11">
        <f t="shared" si="38"/>
        <v>-44.48265249256351</v>
      </c>
      <c r="BB13" s="12">
        <f t="shared" si="39"/>
        <v>-44.427296784671391</v>
      </c>
      <c r="BC13" s="13">
        <f t="shared" si="40"/>
        <v>-44.367720717765081</v>
      </c>
      <c r="BD13" s="14">
        <f t="shared" si="41"/>
        <v>-44.303941627159212</v>
      </c>
      <c r="BE13" s="15">
        <f t="shared" si="42"/>
        <v>-44.235977973079493</v>
      </c>
      <c r="BJ13" s="9">
        <f t="shared" si="43"/>
        <v>-50.505916788643681</v>
      </c>
      <c r="BK13" s="10">
        <f t="shared" si="44"/>
        <v>-50.629590380528654</v>
      </c>
      <c r="BL13" s="11">
        <f t="shared" si="45"/>
        <v>-50.658432151265316</v>
      </c>
      <c r="BM13" s="12">
        <f t="shared" si="46"/>
        <v>-50.70012958128364</v>
      </c>
      <c r="BN13" s="13">
        <f t="shared" si="47"/>
        <v>-50.726881733525225</v>
      </c>
      <c r="BO13" s="14">
        <f t="shared" si="48"/>
        <v>-50.765436372707491</v>
      </c>
      <c r="BP13" s="15">
        <f t="shared" si="49"/>
        <v>-50.790087938833835</v>
      </c>
      <c r="BR13" s="9">
        <f t="shared" si="50"/>
        <v>-48.569971951060673</v>
      </c>
      <c r="BS13" s="10">
        <f t="shared" si="51"/>
        <v>-48.409097364607668</v>
      </c>
      <c r="BT13" s="11">
        <f t="shared" si="52"/>
        <v>-48.243829704580982</v>
      </c>
      <c r="BU13" s="12">
        <f t="shared" si="53"/>
        <v>-48.074222622052034</v>
      </c>
      <c r="BV13" s="13">
        <f t="shared" si="54"/>
        <v>-47.900330311636935</v>
      </c>
      <c r="BW13" s="14">
        <f t="shared" si="55"/>
        <v>-47.722207445642276</v>
      </c>
      <c r="BX13" s="15">
        <f t="shared" si="56"/>
        <v>-47.539909109793911</v>
      </c>
    </row>
    <row r="14" spans="1:76">
      <c r="A14">
        <f t="shared" si="57"/>
        <v>-120</v>
      </c>
      <c r="B14">
        <f t="shared" si="7"/>
        <v>-120</v>
      </c>
      <c r="E14" s="9">
        <f t="shared" si="0"/>
        <v>-23.457050565098651</v>
      </c>
      <c r="F14" s="10">
        <f t="shared" si="1"/>
        <v>-23.182973501527556</v>
      </c>
      <c r="G14" s="11">
        <f t="shared" si="2"/>
        <v>-23.113793019736111</v>
      </c>
      <c r="H14" s="12">
        <f t="shared" si="3"/>
        <v>-23.009531051709558</v>
      </c>
      <c r="I14" s="13">
        <f t="shared" si="4"/>
        <v>-22.939697252562059</v>
      </c>
      <c r="J14" s="14">
        <f t="shared" si="5"/>
        <v>-22.834460698221452</v>
      </c>
      <c r="K14" s="15">
        <f t="shared" si="6"/>
        <v>-22.763980769319346</v>
      </c>
      <c r="M14" s="9">
        <f t="shared" si="8"/>
        <v>-25.950044841326452</v>
      </c>
      <c r="N14" s="10">
        <f t="shared" si="9"/>
        <v>-26.089974570880816</v>
      </c>
      <c r="O14" s="11">
        <f t="shared" si="10"/>
        <v>-26.227932686696452</v>
      </c>
      <c r="P14" s="12">
        <f t="shared" si="11"/>
        <v>-26.363902458104477</v>
      </c>
      <c r="Q14" s="13">
        <f t="shared" si="12"/>
        <v>-26.497867272497185</v>
      </c>
      <c r="R14" s="14">
        <f t="shared" si="13"/>
        <v>-26.629810641355196</v>
      </c>
      <c r="S14" s="15">
        <f t="shared" si="14"/>
        <v>-26.759716206345786</v>
      </c>
      <c r="X14" s="9">
        <f t="shared" si="15"/>
        <v>-34.649804674563249</v>
      </c>
      <c r="Y14" s="10">
        <f t="shared" si="16"/>
        <v>-34.529040018160558</v>
      </c>
      <c r="Z14" s="11">
        <f t="shared" si="17"/>
        <v>-34.497674906015867</v>
      </c>
      <c r="AA14" s="12">
        <f t="shared" si="18"/>
        <v>-34.449750409690083</v>
      </c>
      <c r="AB14" s="13">
        <f t="shared" si="19"/>
        <v>-34.417217529052465</v>
      </c>
      <c r="AC14" s="14">
        <f t="shared" si="20"/>
        <v>-34.367545708581623</v>
      </c>
      <c r="AD14" s="15">
        <f t="shared" si="21"/>
        <v>-34.333850872004412</v>
      </c>
      <c r="AF14" s="9">
        <f t="shared" si="22"/>
        <v>-35.434329710878608</v>
      </c>
      <c r="AG14" s="10">
        <f t="shared" si="23"/>
        <v>-35.457332160858435</v>
      </c>
      <c r="AH14" s="11">
        <f t="shared" si="24"/>
        <v>-35.477232951862241</v>
      </c>
      <c r="AI14" s="12">
        <f t="shared" si="25"/>
        <v>-35.494028267050787</v>
      </c>
      <c r="AJ14" s="13">
        <f t="shared" si="26"/>
        <v>-35.507714881086663</v>
      </c>
      <c r="AK14" s="14">
        <f t="shared" si="27"/>
        <v>-35.518290162835953</v>
      </c>
      <c r="AL14" s="15">
        <f t="shared" si="28"/>
        <v>-35.525752077576655</v>
      </c>
      <c r="AQ14" s="9">
        <f t="shared" si="29"/>
        <v>-41.400198534641348</v>
      </c>
      <c r="AR14" s="10">
        <f t="shared" si="30"/>
        <v>-41.408898621586943</v>
      </c>
      <c r="AS14" s="11">
        <f t="shared" si="31"/>
        <v>-41.409534644587673</v>
      </c>
      <c r="AT14" s="12">
        <f t="shared" si="32"/>
        <v>-41.409334261632665</v>
      </c>
      <c r="AU14" s="13">
        <f t="shared" si="33"/>
        <v>-41.408431069270975</v>
      </c>
      <c r="AV14" s="14">
        <f t="shared" si="34"/>
        <v>-41.405921966841881</v>
      </c>
      <c r="AW14" s="15">
        <f t="shared" si="35"/>
        <v>-41.403479788355121</v>
      </c>
      <c r="AY14" s="9">
        <f t="shared" si="36"/>
        <v>-40.775797349647618</v>
      </c>
      <c r="AZ14" s="10">
        <f t="shared" si="37"/>
        <v>-40.704833329529116</v>
      </c>
      <c r="BA14" s="11">
        <f t="shared" si="38"/>
        <v>-40.630195268619893</v>
      </c>
      <c r="BB14" s="12">
        <f t="shared" si="39"/>
        <v>-40.551901028765265</v>
      </c>
      <c r="BC14" s="13">
        <f t="shared" si="40"/>
        <v>-40.469969234572751</v>
      </c>
      <c r="BD14" s="14">
        <f t="shared" si="41"/>
        <v>-40.384419253908924</v>
      </c>
      <c r="BE14" s="15">
        <f t="shared" si="42"/>
        <v>-40.295271177851966</v>
      </c>
      <c r="BJ14" s="9">
        <f t="shared" si="43"/>
        <v>-47.22077508699229</v>
      </c>
      <c r="BK14" s="10">
        <f t="shared" si="44"/>
        <v>-47.386339174911186</v>
      </c>
      <c r="BL14" s="11">
        <f t="shared" si="45"/>
        <v>-47.425914120590271</v>
      </c>
      <c r="BM14" s="12">
        <f t="shared" si="46"/>
        <v>-47.483905841086475</v>
      </c>
      <c r="BN14" s="13">
        <f t="shared" si="47"/>
        <v>-47.521650172847053</v>
      </c>
      <c r="BO14" s="14">
        <f t="shared" si="48"/>
        <v>-47.576886376657974</v>
      </c>
      <c r="BP14" s="15">
        <f t="shared" si="49"/>
        <v>-47.612787418140783</v>
      </c>
      <c r="BR14" s="9">
        <f t="shared" si="50"/>
        <v>-44.957975763777988</v>
      </c>
      <c r="BS14" s="10">
        <f t="shared" si="51"/>
        <v>-44.782105257561824</v>
      </c>
      <c r="BT14" s="11">
        <f t="shared" si="52"/>
        <v>-44.602451893726453</v>
      </c>
      <c r="BU14" s="12">
        <f t="shared" si="53"/>
        <v>-44.419062569002683</v>
      </c>
      <c r="BV14" s="13">
        <f t="shared" si="54"/>
        <v>-44.231984410364085</v>
      </c>
      <c r="BW14" s="14">
        <f t="shared" si="55"/>
        <v>-44.041264732768106</v>
      </c>
      <c r="BX14" s="15">
        <f t="shared" si="56"/>
        <v>-43.846950998184035</v>
      </c>
    </row>
    <row r="15" spans="1:76">
      <c r="A15">
        <f t="shared" si="57"/>
        <v>-115</v>
      </c>
      <c r="B15">
        <f t="shared" si="7"/>
        <v>-115</v>
      </c>
      <c r="E15" s="9">
        <f t="shared" si="0"/>
        <v>-20.272170569799922</v>
      </c>
      <c r="F15" s="10">
        <f t="shared" si="1"/>
        <v>-20.053179410758432</v>
      </c>
      <c r="G15" s="11">
        <f t="shared" si="2"/>
        <v>-19.997840934580161</v>
      </c>
      <c r="H15" s="12">
        <f t="shared" si="3"/>
        <v>-19.914393739008982</v>
      </c>
      <c r="I15" s="13">
        <f t="shared" si="4"/>
        <v>-19.858470560550433</v>
      </c>
      <c r="J15" s="14">
        <f t="shared" si="5"/>
        <v>-19.774150407476785</v>
      </c>
      <c r="K15" s="15">
        <f t="shared" si="6"/>
        <v>-19.717647993499146</v>
      </c>
      <c r="M15" s="9">
        <f t="shared" si="8"/>
        <v>-22.242970226504877</v>
      </c>
      <c r="N15" s="10">
        <f t="shared" si="9"/>
        <v>-22.352241237697999</v>
      </c>
      <c r="O15" s="11">
        <f t="shared" si="10"/>
        <v>-22.459802439346628</v>
      </c>
      <c r="P15" s="12">
        <f t="shared" si="11"/>
        <v>-22.565642035714106</v>
      </c>
      <c r="Q15" s="13">
        <f t="shared" si="12"/>
        <v>-22.669748360347274</v>
      </c>
      <c r="R15" s="14">
        <f t="shared" si="13"/>
        <v>-22.77210987973849</v>
      </c>
      <c r="S15" s="15">
        <f t="shared" si="14"/>
        <v>-22.872715196997792</v>
      </c>
      <c r="X15" s="9">
        <f t="shared" si="15"/>
        <v>-31.325757351761119</v>
      </c>
      <c r="Y15" s="10">
        <f t="shared" si="16"/>
        <v>-31.260319784140222</v>
      </c>
      <c r="Z15" s="11">
        <f t="shared" si="17"/>
        <v>-31.24290764090027</v>
      </c>
      <c r="AA15" s="12">
        <f t="shared" si="18"/>
        <v>-31.216001636859207</v>
      </c>
      <c r="AB15" s="13">
        <f t="shared" si="19"/>
        <v>-31.197539772908961</v>
      </c>
      <c r="AC15" s="14">
        <f t="shared" si="20"/>
        <v>-31.169061356526075</v>
      </c>
      <c r="AD15" s="15">
        <f t="shared" si="21"/>
        <v>-31.14955270032792</v>
      </c>
      <c r="AF15" s="9">
        <f t="shared" si="22"/>
        <v>-31.605422186744157</v>
      </c>
      <c r="AG15" s="10">
        <f t="shared" si="23"/>
        <v>-31.600127992353841</v>
      </c>
      <c r="AH15" s="11">
        <f t="shared" si="24"/>
        <v>-31.592149959433257</v>
      </c>
      <c r="AI15" s="12">
        <f t="shared" si="25"/>
        <v>-31.581489384767099</v>
      </c>
      <c r="AJ15" s="13">
        <f t="shared" si="26"/>
        <v>-31.568148000154544</v>
      </c>
      <c r="AK15" s="14">
        <f t="shared" si="27"/>
        <v>-31.552127971250954</v>
      </c>
      <c r="AL15" s="15">
        <f t="shared" si="28"/>
        <v>-31.533431896121602</v>
      </c>
      <c r="AQ15" s="9">
        <f t="shared" si="29"/>
        <v>-38.059027577172976</v>
      </c>
      <c r="AR15" s="10">
        <f t="shared" si="30"/>
        <v>-38.118255707300321</v>
      </c>
      <c r="AS15" s="11">
        <f t="shared" si="31"/>
        <v>-38.131701004700112</v>
      </c>
      <c r="AT15" s="12">
        <f t="shared" si="32"/>
        <v>-38.150845716263483</v>
      </c>
      <c r="AU15" s="13">
        <f t="shared" si="33"/>
        <v>-38.1629260572509</v>
      </c>
      <c r="AV15" s="14">
        <f t="shared" si="34"/>
        <v>-38.180021323007587</v>
      </c>
      <c r="AW15" s="15">
        <f t="shared" si="35"/>
        <v>-38.190734093618978</v>
      </c>
      <c r="AY15" s="9">
        <f t="shared" si="36"/>
        <v>-36.996386528754634</v>
      </c>
      <c r="AZ15" s="10">
        <f t="shared" si="37"/>
        <v>-36.902296740366971</v>
      </c>
      <c r="BA15" s="11">
        <f t="shared" si="38"/>
        <v>-36.805050597099175</v>
      </c>
      <c r="BB15" s="12">
        <f t="shared" si="39"/>
        <v>-36.704667233317693</v>
      </c>
      <c r="BC15" s="13">
        <f t="shared" si="40"/>
        <v>-36.601166261193235</v>
      </c>
      <c r="BD15" s="14">
        <f t="shared" si="41"/>
        <v>-36.494567755043541</v>
      </c>
      <c r="BE15" s="15">
        <f t="shared" si="42"/>
        <v>-36.384892235535396</v>
      </c>
      <c r="BJ15" s="9">
        <f t="shared" si="43"/>
        <v>-43.972382261905892</v>
      </c>
      <c r="BK15" s="10">
        <f t="shared" si="44"/>
        <v>-44.178016629563963</v>
      </c>
      <c r="BL15" s="11">
        <f t="shared" si="45"/>
        <v>-44.227841405063238</v>
      </c>
      <c r="BM15" s="12">
        <f t="shared" si="46"/>
        <v>-44.301381782534023</v>
      </c>
      <c r="BN15" s="13">
        <f t="shared" si="47"/>
        <v>-44.349607691367176</v>
      </c>
      <c r="BO15" s="14">
        <f t="shared" si="48"/>
        <v>-44.420739697008131</v>
      </c>
      <c r="BP15" s="15">
        <f t="shared" si="49"/>
        <v>-44.467353381583408</v>
      </c>
      <c r="BR15" s="9">
        <f t="shared" si="50"/>
        <v>-41.389812994739657</v>
      </c>
      <c r="BS15" s="10">
        <f t="shared" si="51"/>
        <v>-41.198694362118971</v>
      </c>
      <c r="BT15" s="11">
        <f t="shared" si="52"/>
        <v>-41.004323753919792</v>
      </c>
      <c r="BU15" s="12">
        <f t="shared" si="53"/>
        <v>-40.806742422714429</v>
      </c>
      <c r="BV15" s="13">
        <f t="shared" si="54"/>
        <v>-40.605991656190035</v>
      </c>
      <c r="BW15" s="14">
        <f t="shared" si="55"/>
        <v>-40.402112750382919</v>
      </c>
      <c r="BX15" s="15">
        <f t="shared" si="56"/>
        <v>-40.195146983901942</v>
      </c>
    </row>
    <row r="16" spans="1:76">
      <c r="A16">
        <f t="shared" si="57"/>
        <v>-110</v>
      </c>
      <c r="B16">
        <f t="shared" si="7"/>
        <v>-110</v>
      </c>
      <c r="E16" s="9">
        <f t="shared" si="0"/>
        <v>-17.02294318924119</v>
      </c>
      <c r="F16" s="10">
        <f t="shared" si="1"/>
        <v>-16.858259323535904</v>
      </c>
      <c r="G16" s="11">
        <f t="shared" si="2"/>
        <v>-16.81658079082969</v>
      </c>
      <c r="H16" s="12">
        <f t="shared" si="3"/>
        <v>-16.753684827585626</v>
      </c>
      <c r="I16" s="13">
        <f t="shared" si="4"/>
        <v>-16.711502982725346</v>
      </c>
      <c r="J16" s="14">
        <f t="shared" si="5"/>
        <v>-16.64785497205845</v>
      </c>
      <c r="K16" s="15">
        <f t="shared" si="6"/>
        <v>-16.605173716675861</v>
      </c>
      <c r="M16" s="9">
        <f t="shared" si="8"/>
        <v>-18.483301668746158</v>
      </c>
      <c r="N16" s="10">
        <f t="shared" si="9"/>
        <v>-18.562852406995926</v>
      </c>
      <c r="O16" s="11">
        <f t="shared" si="10"/>
        <v>-18.64097431200145</v>
      </c>
      <c r="P16" s="12">
        <f t="shared" si="11"/>
        <v>-18.717659607349717</v>
      </c>
      <c r="Q16" s="13">
        <f t="shared" si="12"/>
        <v>-18.792900635306104</v>
      </c>
      <c r="R16" s="14">
        <f t="shared" si="13"/>
        <v>-18.866689858781779</v>
      </c>
      <c r="S16" s="15">
        <f t="shared" si="14"/>
        <v>-18.93901986328968</v>
      </c>
      <c r="X16" s="9">
        <f t="shared" si="15"/>
        <v>-27.983996900868803</v>
      </c>
      <c r="Y16" s="10">
        <f t="shared" si="16"/>
        <v>-27.971983757237528</v>
      </c>
      <c r="Z16" s="11">
        <f t="shared" si="17"/>
        <v>-27.968053694696088</v>
      </c>
      <c r="AA16" s="12">
        <f t="shared" si="18"/>
        <v>-27.961463856262917</v>
      </c>
      <c r="AB16" s="13">
        <f t="shared" si="19"/>
        <v>-27.956607611567954</v>
      </c>
      <c r="AC16" s="14">
        <f t="shared" si="20"/>
        <v>-27.948628988714255</v>
      </c>
      <c r="AD16" s="15">
        <f t="shared" si="21"/>
        <v>-27.942847243840312</v>
      </c>
      <c r="AF16" s="9">
        <f t="shared" si="22"/>
        <v>-27.778084017134539</v>
      </c>
      <c r="AG16" s="10">
        <f t="shared" si="23"/>
        <v>-27.745623827347064</v>
      </c>
      <c r="AH16" s="11">
        <f t="shared" si="24"/>
        <v>-27.710878800360494</v>
      </c>
      <c r="AI16" s="12">
        <f t="shared" si="25"/>
        <v>-27.673853751802341</v>
      </c>
      <c r="AJ16" s="13">
        <f t="shared" si="26"/>
        <v>-27.634553802873512</v>
      </c>
      <c r="AK16" s="14">
        <f t="shared" si="27"/>
        <v>-27.592984377690424</v>
      </c>
      <c r="AL16" s="15">
        <f t="shared" si="28"/>
        <v>-27.549151200483237</v>
      </c>
      <c r="AQ16" s="9">
        <f t="shared" si="29"/>
        <v>-34.734024794097913</v>
      </c>
      <c r="AR16" s="10">
        <f t="shared" si="30"/>
        <v>-34.841629618575872</v>
      </c>
      <c r="AS16" s="11">
        <f t="shared" si="31"/>
        <v>-34.867338298139863</v>
      </c>
      <c r="AT16" s="12">
        <f t="shared" si="32"/>
        <v>-34.905003817880484</v>
      </c>
      <c r="AU16" s="13">
        <f t="shared" si="33"/>
        <v>-34.929514751651844</v>
      </c>
      <c r="AV16" s="14">
        <f t="shared" si="34"/>
        <v>-34.965380222742084</v>
      </c>
      <c r="AW16" s="15">
        <f t="shared" si="35"/>
        <v>-34.988688884709909</v>
      </c>
      <c r="AY16" s="9">
        <f t="shared" si="36"/>
        <v>-33.250103382209176</v>
      </c>
      <c r="AZ16" s="10">
        <f t="shared" si="37"/>
        <v>-33.133582204090189</v>
      </c>
      <c r="BA16" s="11">
        <f t="shared" si="38"/>
        <v>-33.014371264357301</v>
      </c>
      <c r="BB16" s="12">
        <f t="shared" si="39"/>
        <v>-32.892490018711655</v>
      </c>
      <c r="BC16" s="13">
        <f t="shared" si="40"/>
        <v>-32.767958202536818</v>
      </c>
      <c r="BD16" s="14">
        <f t="shared" si="41"/>
        <v>-32.640795819153496</v>
      </c>
      <c r="BE16" s="15">
        <f t="shared" si="42"/>
        <v>-32.511023128119199</v>
      </c>
      <c r="BJ16" s="9">
        <f t="shared" si="43"/>
        <v>-40.76804149869691</v>
      </c>
      <c r="BK16" s="10">
        <f t="shared" si="44"/>
        <v>-41.012324321746306</v>
      </c>
      <c r="BL16" s="11">
        <f t="shared" si="45"/>
        <v>-41.072019113695326</v>
      </c>
      <c r="BM16" s="12">
        <f t="shared" si="46"/>
        <v>-41.160520530381753</v>
      </c>
      <c r="BN16" s="13">
        <f t="shared" si="47"/>
        <v>-41.218824482494654</v>
      </c>
      <c r="BO16" s="14">
        <f t="shared" si="48"/>
        <v>-41.305229563529302</v>
      </c>
      <c r="BP16" s="15">
        <f t="shared" si="49"/>
        <v>-41.362129279929164</v>
      </c>
      <c r="BR16" s="9">
        <f t="shared" si="50"/>
        <v>-37.870698063585664</v>
      </c>
      <c r="BS16" s="10">
        <f t="shared" si="51"/>
        <v>-37.664078899176651</v>
      </c>
      <c r="BT16" s="11">
        <f t="shared" si="52"/>
        <v>-37.454674688145047</v>
      </c>
      <c r="BU16" s="12">
        <f t="shared" si="53"/>
        <v>-37.242521906532296</v>
      </c>
      <c r="BV16" s="13">
        <f t="shared" si="54"/>
        <v>-37.027656946073357</v>
      </c>
      <c r="BW16" s="14">
        <f t="shared" si="55"/>
        <v>-36.81011609778534</v>
      </c>
      <c r="BX16" s="15">
        <f t="shared" si="56"/>
        <v>-36.589935536287165</v>
      </c>
    </row>
    <row r="17" spans="1:76">
      <c r="A17">
        <f t="shared" si="57"/>
        <v>-105</v>
      </c>
      <c r="B17">
        <f t="shared" si="7"/>
        <v>-105</v>
      </c>
      <c r="E17" s="9">
        <f t="shared" si="0"/>
        <v>-13.726888874909916</v>
      </c>
      <c r="F17" s="10">
        <f t="shared" si="1"/>
        <v>-13.615787627475669</v>
      </c>
      <c r="G17" s="11">
        <f t="shared" si="2"/>
        <v>-13.587596935139375</v>
      </c>
      <c r="H17" s="12">
        <f t="shared" si="3"/>
        <v>-13.545000964164261</v>
      </c>
      <c r="I17" s="13">
        <f t="shared" si="4"/>
        <v>-13.516397609328665</v>
      </c>
      <c r="J17" s="14">
        <f t="shared" si="5"/>
        <v>-13.473184517555634</v>
      </c>
      <c r="K17" s="15">
        <f t="shared" si="6"/>
        <v>-13.444171004593766</v>
      </c>
      <c r="M17" s="9">
        <f t="shared" si="8"/>
        <v>-14.686797754314549</v>
      </c>
      <c r="N17" s="10">
        <f t="shared" si="9"/>
        <v>-14.737386306649013</v>
      </c>
      <c r="O17" s="11">
        <f t="shared" si="10"/>
        <v>-14.78683861409699</v>
      </c>
      <c r="P17" s="12">
        <f t="shared" si="11"/>
        <v>-14.835150170770756</v>
      </c>
      <c r="Q17" s="13">
        <f t="shared" si="12"/>
        <v>-14.882316567472683</v>
      </c>
      <c r="R17" s="14">
        <f t="shared" si="13"/>
        <v>-14.928333492574971</v>
      </c>
      <c r="S17" s="15">
        <f t="shared" si="14"/>
        <v>-14.973196732885357</v>
      </c>
      <c r="X17" s="9">
        <f t="shared" si="15"/>
        <v>-24.639655148290508</v>
      </c>
      <c r="Y17" s="10">
        <f t="shared" si="16"/>
        <v>-24.67944686692201</v>
      </c>
      <c r="Z17" s="11">
        <f t="shared" si="17"/>
        <v>-24.688595009530403</v>
      </c>
      <c r="AA17" s="12">
        <f t="shared" si="18"/>
        <v>-24.701716629000529</v>
      </c>
      <c r="AB17" s="13">
        <f t="shared" si="19"/>
        <v>-24.710063725456671</v>
      </c>
      <c r="AC17" s="14">
        <f t="shared" si="20"/>
        <v>-24.721982980357083</v>
      </c>
      <c r="AD17" s="15">
        <f t="shared" si="21"/>
        <v>-24.729527993191439</v>
      </c>
      <c r="AF17" s="9">
        <f t="shared" si="22"/>
        <v>-23.963603719719707</v>
      </c>
      <c r="AG17" s="10">
        <f t="shared" si="23"/>
        <v>-23.90482938515564</v>
      </c>
      <c r="AH17" s="11">
        <f t="shared" si="24"/>
        <v>-23.844148667387046</v>
      </c>
      <c r="AI17" s="12">
        <f t="shared" si="25"/>
        <v>-23.781568795020871</v>
      </c>
      <c r="AJ17" s="13">
        <f t="shared" si="26"/>
        <v>-23.717097199824966</v>
      </c>
      <c r="AK17" s="14">
        <f t="shared" si="27"/>
        <v>-23.650741513844924</v>
      </c>
      <c r="AL17" s="15">
        <f t="shared" si="28"/>
        <v>-23.582509566466896</v>
      </c>
      <c r="AQ17" s="9">
        <f t="shared" si="29"/>
        <v>-31.436544224675369</v>
      </c>
      <c r="AR17" s="10">
        <f t="shared" si="30"/>
        <v>-31.590767760849314</v>
      </c>
      <c r="AS17" s="11">
        <f t="shared" si="31"/>
        <v>-31.62829088645665</v>
      </c>
      <c r="AT17" s="12">
        <f t="shared" si="32"/>
        <v>-31.68379715728128</v>
      </c>
      <c r="AU17" s="13">
        <f t="shared" si="33"/>
        <v>-31.72028103355883</v>
      </c>
      <c r="AV17" s="14">
        <f t="shared" si="34"/>
        <v>-31.774224087580013</v>
      </c>
      <c r="AW17" s="15">
        <f t="shared" si="35"/>
        <v>-31.809662954755957</v>
      </c>
      <c r="AY17" s="9">
        <f t="shared" si="36"/>
        <v>-29.544406310055589</v>
      </c>
      <c r="AZ17" s="10">
        <f t="shared" si="37"/>
        <v>-29.405937171582018</v>
      </c>
      <c r="BA17" s="11">
        <f t="shared" si="38"/>
        <v>-29.265200561752042</v>
      </c>
      <c r="BB17" s="12">
        <f t="shared" si="39"/>
        <v>-29.122215698863528</v>
      </c>
      <c r="BC17" s="13">
        <f t="shared" si="40"/>
        <v>-28.977001944772663</v>
      </c>
      <c r="BD17" s="14">
        <f t="shared" si="41"/>
        <v>-28.829578796610097</v>
      </c>
      <c r="BE17" s="15">
        <f t="shared" si="42"/>
        <v>-28.679965878612219</v>
      </c>
      <c r="BJ17" s="9">
        <f t="shared" si="43"/>
        <v>-37.614867436063058</v>
      </c>
      <c r="BK17" s="10">
        <f t="shared" si="44"/>
        <v>-37.896666691800135</v>
      </c>
      <c r="BL17" s="11">
        <f t="shared" si="45"/>
        <v>-37.965927272688909</v>
      </c>
      <c r="BM17" s="12">
        <f t="shared" si="46"/>
        <v>-38.068917694945398</v>
      </c>
      <c r="BN17" s="13">
        <f t="shared" si="47"/>
        <v>-38.136974627497835</v>
      </c>
      <c r="BO17" s="14">
        <f t="shared" si="48"/>
        <v>-38.238149788202421</v>
      </c>
      <c r="BP17" s="15">
        <f t="shared" si="49"/>
        <v>-38.304990036155132</v>
      </c>
      <c r="BR17" s="9">
        <f t="shared" si="50"/>
        <v>-34.406260798556509</v>
      </c>
      <c r="BS17" s="10">
        <f t="shared" si="51"/>
        <v>-34.183890199218219</v>
      </c>
      <c r="BT17" s="11">
        <f t="shared" si="52"/>
        <v>-33.959148533402612</v>
      </c>
      <c r="BU17" s="12">
        <f t="shared" si="53"/>
        <v>-33.73206819871649</v>
      </c>
      <c r="BV17" s="13">
        <f t="shared" si="54"/>
        <v>-33.502681438687695</v>
      </c>
      <c r="BW17" s="14">
        <f t="shared" si="55"/>
        <v>-33.271020333347579</v>
      </c>
      <c r="BX17" s="15">
        <f t="shared" si="56"/>
        <v>-33.037116790335403</v>
      </c>
    </row>
    <row r="18" spans="1:76">
      <c r="A18">
        <f t="shared" si="57"/>
        <v>-100</v>
      </c>
      <c r="B18">
        <f t="shared" si="7"/>
        <v>-100</v>
      </c>
      <c r="E18" s="9">
        <f t="shared" si="0"/>
        <v>-10.400078861033252</v>
      </c>
      <c r="F18" s="10">
        <f t="shared" si="1"/>
        <v>-10.341933658697942</v>
      </c>
      <c r="G18" s="11">
        <f t="shared" si="2"/>
        <v>-10.327080111655027</v>
      </c>
      <c r="H18" s="12">
        <f t="shared" si="3"/>
        <v>-10.304562656274022</v>
      </c>
      <c r="I18" s="13">
        <f t="shared" si="4"/>
        <v>-10.289393221081731</v>
      </c>
      <c r="J18" s="14">
        <f t="shared" si="5"/>
        <v>-10.266402875805213</v>
      </c>
      <c r="K18" s="15">
        <f t="shared" si="6"/>
        <v>-10.250918814752261</v>
      </c>
      <c r="M18" s="9">
        <f t="shared" si="8"/>
        <v>-10.867514539413209</v>
      </c>
      <c r="N18" s="10">
        <f t="shared" si="9"/>
        <v>-10.889716408051713</v>
      </c>
      <c r="O18" s="11">
        <f t="shared" si="10"/>
        <v>-10.911080444334138</v>
      </c>
      <c r="P18" s="12">
        <f t="shared" si="11"/>
        <v>-10.931604843608195</v>
      </c>
      <c r="Q18" s="13">
        <f t="shared" si="12"/>
        <v>-10.951287871218497</v>
      </c>
      <c r="R18" s="14">
        <f t="shared" si="13"/>
        <v>-10.970127862762991</v>
      </c>
      <c r="S18" s="15">
        <f t="shared" si="14"/>
        <v>-10.988123224339665</v>
      </c>
      <c r="X18" s="9">
        <f t="shared" si="15"/>
        <v>-21.306473613830974</v>
      </c>
      <c r="Y18" s="10">
        <f t="shared" si="16"/>
        <v>-21.396709171766386</v>
      </c>
      <c r="Z18" s="11">
        <f t="shared" si="17"/>
        <v>-21.418593458906297</v>
      </c>
      <c r="AA18" s="12">
        <f t="shared" si="18"/>
        <v>-21.450912362989833</v>
      </c>
      <c r="AB18" s="13">
        <f t="shared" si="19"/>
        <v>-21.472119394574143</v>
      </c>
      <c r="AC18" s="14">
        <f t="shared" si="20"/>
        <v>-21.503420650351433</v>
      </c>
      <c r="AD18" s="15">
        <f t="shared" si="21"/>
        <v>-21.52394808919362</v>
      </c>
      <c r="AF18" s="9">
        <f t="shared" si="22"/>
        <v>-20.172414267078256</v>
      </c>
      <c r="AG18" s="10">
        <f t="shared" si="23"/>
        <v>-20.087945394349447</v>
      </c>
      <c r="AH18" s="11">
        <f t="shared" si="24"/>
        <v>-20.001927205814372</v>
      </c>
      <c r="AI18" s="12">
        <f t="shared" si="25"/>
        <v>-19.914368596715747</v>
      </c>
      <c r="AJ18" s="13">
        <f t="shared" si="26"/>
        <v>-19.825278587401399</v>
      </c>
      <c r="AK18" s="14">
        <f t="shared" si="27"/>
        <v>-19.734666320842408</v>
      </c>
      <c r="AL18" s="15">
        <f t="shared" si="28"/>
        <v>-19.642541060146929</v>
      </c>
      <c r="AQ18" s="9">
        <f t="shared" si="29"/>
        <v>-28.177118452367097</v>
      </c>
      <c r="AR18" s="10">
        <f t="shared" si="30"/>
        <v>-28.376516628062941</v>
      </c>
      <c r="AS18" s="11">
        <f t="shared" si="31"/>
        <v>-28.425482972728016</v>
      </c>
      <c r="AT18" s="12">
        <f t="shared" si="32"/>
        <v>-28.498265801542384</v>
      </c>
      <c r="AU18" s="13">
        <f t="shared" si="33"/>
        <v>-28.546341701810448</v>
      </c>
      <c r="AV18" s="14">
        <f t="shared" si="34"/>
        <v>-28.61778397136418</v>
      </c>
      <c r="AW18" s="15">
        <f t="shared" si="35"/>
        <v>-28.664962921309773</v>
      </c>
      <c r="AY18" s="9">
        <f t="shared" si="36"/>
        <v>-25.886793277212384</v>
      </c>
      <c r="AZ18" s="10">
        <f t="shared" si="37"/>
        <v>-25.726697049097666</v>
      </c>
      <c r="BA18" s="11">
        <f t="shared" si="38"/>
        <v>-25.56471649637308</v>
      </c>
      <c r="BB18" s="12">
        <f t="shared" si="39"/>
        <v>-25.400870294156729</v>
      </c>
      <c r="BC18" s="13">
        <f t="shared" si="40"/>
        <v>-25.235177169669608</v>
      </c>
      <c r="BD18" s="14">
        <f t="shared" si="41"/>
        <v>-25.067655896813282</v>
      </c>
      <c r="BE18" s="15">
        <f t="shared" si="42"/>
        <v>-24.898325290874812</v>
      </c>
      <c r="BJ18" s="9">
        <f t="shared" si="43"/>
        <v>-34.519975596447175</v>
      </c>
      <c r="BK18" s="10">
        <f t="shared" si="44"/>
        <v>-34.838367688459051</v>
      </c>
      <c r="BL18" s="11">
        <f t="shared" si="45"/>
        <v>-34.916944405933378</v>
      </c>
      <c r="BM18" s="12">
        <f t="shared" si="46"/>
        <v>-35.034035420778622</v>
      </c>
      <c r="BN18" s="13">
        <f t="shared" si="47"/>
        <v>-35.111577154387263</v>
      </c>
      <c r="BO18" s="14">
        <f t="shared" si="48"/>
        <v>-35.227106365395258</v>
      </c>
      <c r="BP18" s="15">
        <f t="shared" si="49"/>
        <v>-35.303600678024623</v>
      </c>
      <c r="BR18" s="9">
        <f t="shared" si="50"/>
        <v>-31.002591537792679</v>
      </c>
      <c r="BS18" s="10">
        <f t="shared" si="51"/>
        <v>-30.764223485005385</v>
      </c>
      <c r="BT18" s="11">
        <f t="shared" si="52"/>
        <v>-30.523853361657746</v>
      </c>
      <c r="BU18" s="12">
        <f t="shared" si="53"/>
        <v>-30.281510061990815</v>
      </c>
      <c r="BV18" s="13">
        <f t="shared" si="54"/>
        <v>-30.03722228956326</v>
      </c>
      <c r="BW18" s="14">
        <f t="shared" si="55"/>
        <v>-29.791018552576681</v>
      </c>
      <c r="BX18" s="15">
        <f t="shared" si="56"/>
        <v>-29.54292715955954</v>
      </c>
    </row>
    <row r="19" spans="1:76">
      <c r="A19">
        <f t="shared" si="57"/>
        <v>-95</v>
      </c>
      <c r="B19">
        <f t="shared" si="7"/>
        <v>-95</v>
      </c>
      <c r="E19" s="9">
        <f t="shared" si="0"/>
        <v>-7.0575362951052236</v>
      </c>
      <c r="F19" s="10">
        <f t="shared" si="1"/>
        <v>-7.0518437201144444</v>
      </c>
      <c r="G19" s="11">
        <f t="shared" si="2"/>
        <v>-7.0502046395276583</v>
      </c>
      <c r="H19" s="12">
        <f t="shared" si="3"/>
        <v>-7.0475841480780126</v>
      </c>
      <c r="I19" s="13">
        <f t="shared" si="4"/>
        <v>-7.0457292725295932</v>
      </c>
      <c r="J19" s="14">
        <f t="shared" si="5"/>
        <v>-7.0427851964215016</v>
      </c>
      <c r="K19" s="15">
        <f t="shared" si="6"/>
        <v>-7.0407146736293686</v>
      </c>
      <c r="M19" s="9">
        <f t="shared" si="8"/>
        <v>-7.0383547119255843</v>
      </c>
      <c r="N19" s="10">
        <f t="shared" si="9"/>
        <v>-7.0325660082111892</v>
      </c>
      <c r="O19" s="11">
        <f t="shared" si="10"/>
        <v>-7.0262391207532522</v>
      </c>
      <c r="P19" s="12">
        <f t="shared" si="11"/>
        <v>-7.0193745532636465</v>
      </c>
      <c r="Q19" s="13">
        <f t="shared" si="12"/>
        <v>-7.0119728522006977</v>
      </c>
      <c r="R19" s="14">
        <f t="shared" si="13"/>
        <v>-7.0040346067109089</v>
      </c>
      <c r="S19" s="15">
        <f t="shared" si="14"/>
        <v>-6.9955604485662333</v>
      </c>
      <c r="X19" s="9">
        <f t="shared" si="15"/>
        <v>-17.997291430206122</v>
      </c>
      <c r="Y19" s="10">
        <f t="shared" si="16"/>
        <v>-18.136836169320574</v>
      </c>
      <c r="Z19" s="11">
        <f t="shared" si="17"/>
        <v>-18.171168959896633</v>
      </c>
      <c r="AA19" s="12">
        <f t="shared" si="18"/>
        <v>-18.222250911822684</v>
      </c>
      <c r="AB19" s="13">
        <f t="shared" si="19"/>
        <v>-18.256026612423021</v>
      </c>
      <c r="AC19" s="14">
        <f t="shared" si="20"/>
        <v>-18.306270437148203</v>
      </c>
      <c r="AD19" s="15">
        <f t="shared" si="21"/>
        <v>-18.33948573494337</v>
      </c>
      <c r="AF19" s="9">
        <f t="shared" si="22"/>
        <v>-16.414549350499634</v>
      </c>
      <c r="AG19" s="10">
        <f t="shared" si="23"/>
        <v>-16.304811868814301</v>
      </c>
      <c r="AH19" s="11">
        <f t="shared" si="24"/>
        <v>-16.193860233699052</v>
      </c>
      <c r="AI19" s="12">
        <f t="shared" si="25"/>
        <v>-16.081704525683616</v>
      </c>
      <c r="AJ19" s="13">
        <f t="shared" si="26"/>
        <v>-15.96835489334234</v>
      </c>
      <c r="AK19" s="14">
        <f t="shared" si="27"/>
        <v>-15.853821551467027</v>
      </c>
      <c r="AL19" s="15">
        <f t="shared" si="28"/>
        <v>-15.738114779258474</v>
      </c>
      <c r="AQ19" s="9">
        <f t="shared" si="29"/>
        <v>-24.96583609983783</v>
      </c>
      <c r="AR19" s="10">
        <f t="shared" si="30"/>
        <v>-25.209210087780782</v>
      </c>
      <c r="AS19" s="11">
        <f t="shared" si="31"/>
        <v>-25.269309297385622</v>
      </c>
      <c r="AT19" s="12">
        <f t="shared" si="32"/>
        <v>-25.358895380821213</v>
      </c>
      <c r="AU19" s="13">
        <f t="shared" si="33"/>
        <v>-25.418242667069727</v>
      </c>
      <c r="AV19" s="14">
        <f t="shared" si="34"/>
        <v>-25.506695679766871</v>
      </c>
      <c r="AW19" s="15">
        <f t="shared" si="35"/>
        <v>-25.565284136249993</v>
      </c>
      <c r="AY19" s="9">
        <f t="shared" si="36"/>
        <v>-22.285013192510576</v>
      </c>
      <c r="AZ19" s="10">
        <f t="shared" si="37"/>
        <v>-22.103485689102747</v>
      </c>
      <c r="BA19" s="11">
        <f t="shared" si="38"/>
        <v>-21.920421678163635</v>
      </c>
      <c r="BB19" s="12">
        <f t="shared" si="39"/>
        <v>-21.735839150826568</v>
      </c>
      <c r="BC19" s="13">
        <f t="shared" si="40"/>
        <v>-21.549756091416487</v>
      </c>
      <c r="BD19" s="14">
        <f t="shared" si="41"/>
        <v>-21.362190474298131</v>
      </c>
      <c r="BE19" s="15">
        <f t="shared" si="42"/>
        <v>-21.173160260836568</v>
      </c>
      <c r="BJ19" s="9">
        <f t="shared" si="43"/>
        <v>-31.490615695450298</v>
      </c>
      <c r="BK19" s="10">
        <f t="shared" si="44"/>
        <v>-31.844821875904316</v>
      </c>
      <c r="BL19" s="11">
        <f t="shared" si="45"/>
        <v>-31.932503218181889</v>
      </c>
      <c r="BM19" s="12">
        <f t="shared" si="46"/>
        <v>-32.063365009541492</v>
      </c>
      <c r="BN19" s="13">
        <f t="shared" si="47"/>
        <v>-32.150163330355824</v>
      </c>
      <c r="BO19" s="14">
        <f t="shared" si="48"/>
        <v>-32.279691820705295</v>
      </c>
      <c r="BP19" s="15">
        <f t="shared" si="49"/>
        <v>-32.365595418412717</v>
      </c>
      <c r="BR19" s="9">
        <f t="shared" si="50"/>
        <v>-27.666287215947815</v>
      </c>
      <c r="BS19" s="10">
        <f t="shared" si="51"/>
        <v>-27.41168560192369</v>
      </c>
      <c r="BT19" s="11">
        <f t="shared" si="52"/>
        <v>-27.155411722597201</v>
      </c>
      <c r="BU19" s="12">
        <f t="shared" si="53"/>
        <v>-26.897491451012524</v>
      </c>
      <c r="BV19" s="13">
        <f t="shared" si="54"/>
        <v>-26.63795045540742</v>
      </c>
      <c r="BW19" s="14">
        <f t="shared" si="55"/>
        <v>-26.376814197745826</v>
      </c>
      <c r="BX19" s="15">
        <f t="shared" si="56"/>
        <v>-26.114107932484767</v>
      </c>
    </row>
    <row r="20" spans="1:76">
      <c r="A20">
        <f t="shared" si="57"/>
        <v>-90</v>
      </c>
      <c r="B20">
        <f t="shared" si="7"/>
        <v>-90</v>
      </c>
      <c r="E20" s="9">
        <f t="shared" si="0"/>
        <v>-3.7136093463064306</v>
      </c>
      <c r="F20" s="10">
        <f t="shared" si="1"/>
        <v>-3.7599995848175478</v>
      </c>
      <c r="G20" s="11">
        <f t="shared" si="2"/>
        <v>-3.7714831786158962</v>
      </c>
      <c r="H20" s="12">
        <f t="shared" si="3"/>
        <v>-3.7886225196228547</v>
      </c>
      <c r="I20" s="13">
        <f t="shared" si="4"/>
        <v>-3.799991175476515</v>
      </c>
      <c r="J20" s="14">
        <f t="shared" si="5"/>
        <v>-3.8169574522864362</v>
      </c>
      <c r="K20" s="15">
        <f t="shared" si="6"/>
        <v>-3.8282102958392206</v>
      </c>
      <c r="M20" s="9">
        <f t="shared" si="8"/>
        <v>-3.2115417642271766</v>
      </c>
      <c r="N20" s="10">
        <f t="shared" si="9"/>
        <v>-3.1779852281008751</v>
      </c>
      <c r="O20" s="11">
        <f t="shared" si="10"/>
        <v>-3.1441875266357155</v>
      </c>
      <c r="P20" s="12">
        <f t="shared" si="11"/>
        <v>-3.1101512453401874</v>
      </c>
      <c r="Q20" s="13">
        <f t="shared" si="12"/>
        <v>-3.0758789872998702</v>
      </c>
      <c r="R20" s="14">
        <f t="shared" si="13"/>
        <v>-3.0413733729717167</v>
      </c>
      <c r="S20" s="15">
        <f t="shared" si="14"/>
        <v>-3.0066370399774431</v>
      </c>
      <c r="X20" s="9">
        <f t="shared" si="15"/>
        <v>-14.724438932661034</v>
      </c>
      <c r="Y20" s="10">
        <f t="shared" si="16"/>
        <v>-14.912348055959377</v>
      </c>
      <c r="Z20" s="11">
        <f t="shared" si="17"/>
        <v>-14.958887433682055</v>
      </c>
      <c r="AA20" s="12">
        <f t="shared" si="18"/>
        <v>-15.028365425251193</v>
      </c>
      <c r="AB20" s="13">
        <f t="shared" si="19"/>
        <v>-15.074462423095198</v>
      </c>
      <c r="AC20" s="14">
        <f t="shared" si="20"/>
        <v>-15.143273807022911</v>
      </c>
      <c r="AD20" s="15">
        <f t="shared" si="21"/>
        <v>-15.188924379936504</v>
      </c>
      <c r="AF20" s="9">
        <f t="shared" si="22"/>
        <v>-12.70000622802263</v>
      </c>
      <c r="AG20" s="10">
        <f t="shared" si="23"/>
        <v>-12.565265153233813</v>
      </c>
      <c r="AH20" s="11">
        <f t="shared" si="24"/>
        <v>-12.429622641442226</v>
      </c>
      <c r="AI20" s="12">
        <f t="shared" si="25"/>
        <v>-12.29308967249542</v>
      </c>
      <c r="AJ20" s="13">
        <f t="shared" si="26"/>
        <v>-12.155677255066841</v>
      </c>
      <c r="AK20" s="14">
        <f t="shared" si="27"/>
        <v>-12.017396425532276</v>
      </c>
      <c r="AL20" s="15">
        <f t="shared" si="28"/>
        <v>-11.878258246871386</v>
      </c>
      <c r="AQ20" s="9">
        <f t="shared" si="29"/>
        <v>-21.812624776569763</v>
      </c>
      <c r="AR20" s="10">
        <f t="shared" si="30"/>
        <v>-22.09896056797054</v>
      </c>
      <c r="AS20" s="11">
        <f t="shared" si="31"/>
        <v>-22.169928216604823</v>
      </c>
      <c r="AT20" s="12">
        <f t="shared" si="32"/>
        <v>-22.27591287013005</v>
      </c>
      <c r="AU20" s="13">
        <f t="shared" si="33"/>
        <v>-22.346256443799909</v>
      </c>
      <c r="AV20" s="14">
        <f t="shared" si="34"/>
        <v>-22.45129968501049</v>
      </c>
      <c r="AW20" s="15">
        <f t="shared" si="35"/>
        <v>-22.521012118110992</v>
      </c>
      <c r="AY20" s="9">
        <f t="shared" si="36"/>
        <v>-18.7472372510375</v>
      </c>
      <c r="AZ20" s="10">
        <f t="shared" si="37"/>
        <v>-18.544379950820403</v>
      </c>
      <c r="BA20" s="11">
        <f t="shared" si="38"/>
        <v>-18.340301332732938</v>
      </c>
      <c r="BB20" s="12">
        <f t="shared" si="39"/>
        <v>-18.135018670262564</v>
      </c>
      <c r="BC20" s="13">
        <f t="shared" si="40"/>
        <v>-17.928549195210064</v>
      </c>
      <c r="BD20" s="14">
        <f t="shared" si="41"/>
        <v>-17.720910096288652</v>
      </c>
      <c r="BE20" s="15">
        <f t="shared" si="42"/>
        <v>-17.51211851781013</v>
      </c>
      <c r="BJ20" s="9">
        <f t="shared" si="43"/>
        <v>-28.534267994093021</v>
      </c>
      <c r="BK20" s="10">
        <f t="shared" si="44"/>
        <v>-28.923602402775295</v>
      </c>
      <c r="BL20" s="11">
        <f t="shared" si="45"/>
        <v>-29.020201578978284</v>
      </c>
      <c r="BM20" s="12">
        <f t="shared" si="46"/>
        <v>-29.164542497609002</v>
      </c>
      <c r="BN20" s="13">
        <f t="shared" si="47"/>
        <v>-29.260395344999665</v>
      </c>
      <c r="BO20" s="14">
        <f t="shared" si="48"/>
        <v>-29.403608609652661</v>
      </c>
      <c r="BP20" s="15">
        <f t="shared" si="49"/>
        <v>-29.498704231103652</v>
      </c>
      <c r="BR20" s="9">
        <f t="shared" si="50"/>
        <v>-24.40449733788563</v>
      </c>
      <c r="BS20" s="10">
        <f t="shared" si="51"/>
        <v>-24.133442710597581</v>
      </c>
      <c r="BT20" s="11">
        <f t="shared" si="52"/>
        <v>-23.861010640867221</v>
      </c>
      <c r="BU20" s="12">
        <f t="shared" si="53"/>
        <v>-23.587224389316212</v>
      </c>
      <c r="BV20" s="13">
        <f t="shared" si="54"/>
        <v>-23.312107013027532</v>
      </c>
      <c r="BW20" s="14">
        <f t="shared" si="55"/>
        <v>-23.035681366224505</v>
      </c>
      <c r="BX20" s="15">
        <f t="shared" si="56"/>
        <v>-22.757970101092091</v>
      </c>
    </row>
    <row r="21" spans="1:76">
      <c r="A21">
        <f t="shared" si="57"/>
        <v>-85</v>
      </c>
      <c r="B21">
        <f t="shared" si="7"/>
        <v>-85</v>
      </c>
      <c r="E21" s="9">
        <f t="shared" si="0"/>
        <v>-0.3823194698531816</v>
      </c>
      <c r="F21" s="10">
        <f t="shared" si="1"/>
        <v>-0.48055496495664429</v>
      </c>
      <c r="G21" s="11">
        <f t="shared" si="2"/>
        <v>-0.50510015721307133</v>
      </c>
      <c r="H21" s="12">
        <f t="shared" si="3"/>
        <v>-0.54190648734820845</v>
      </c>
      <c r="I21" s="13">
        <f t="shared" si="4"/>
        <v>-0.56643597237810561</v>
      </c>
      <c r="J21" s="14">
        <f t="shared" si="5"/>
        <v>-0.60321736115638447</v>
      </c>
      <c r="K21" s="15">
        <f t="shared" si="6"/>
        <v>-0.62772929852587456</v>
      </c>
      <c r="M21" s="9">
        <f t="shared" si="8"/>
        <v>0.60095661200725758</v>
      </c>
      <c r="N21" s="10">
        <f t="shared" si="9"/>
        <v>0.66222398772917512</v>
      </c>
      <c r="O21" s="11">
        <f t="shared" si="10"/>
        <v>0.72344168688953558</v>
      </c>
      <c r="P21" s="12">
        <f t="shared" si="11"/>
        <v>0.78460511538867295</v>
      </c>
      <c r="Q21" s="13">
        <f t="shared" si="12"/>
        <v>0.84570968270462166</v>
      </c>
      <c r="R21" s="14">
        <f t="shared" si="13"/>
        <v>0.90675080219720317</v>
      </c>
      <c r="S21" s="15">
        <f t="shared" si="14"/>
        <v>0.9677238914122166</v>
      </c>
      <c r="X21" s="9">
        <f t="shared" si="15"/>
        <v>-11.50006026630343</v>
      </c>
      <c r="Y21" s="10">
        <f t="shared" si="16"/>
        <v>-11.735539283426299</v>
      </c>
      <c r="Z21" s="11">
        <f t="shared" si="17"/>
        <v>-11.794079445979916</v>
      </c>
      <c r="AA21" s="12">
        <f t="shared" si="18"/>
        <v>-11.881639500524372</v>
      </c>
      <c r="AB21" s="13">
        <f t="shared" si="19"/>
        <v>-11.939845003405464</v>
      </c>
      <c r="AC21" s="14">
        <f t="shared" si="20"/>
        <v>-12.026899618029361</v>
      </c>
      <c r="AD21" s="15">
        <f t="shared" si="21"/>
        <v>-12.084765862573216</v>
      </c>
      <c r="AF21" s="9">
        <f t="shared" si="22"/>
        <v>-9.0390489465978927</v>
      </c>
      <c r="AG21" s="10">
        <f t="shared" si="23"/>
        <v>-8.8794374360341095</v>
      </c>
      <c r="AH21" s="11">
        <f t="shared" si="24"/>
        <v>-8.7192139851210761</v>
      </c>
      <c r="AI21" s="12">
        <f t="shared" si="25"/>
        <v>-8.5583903296618971</v>
      </c>
      <c r="AJ21" s="13">
        <f t="shared" si="26"/>
        <v>-8.3969782103328079</v>
      </c>
      <c r="AK21" s="14">
        <f t="shared" si="27"/>
        <v>-8.2349893722109506</v>
      </c>
      <c r="AL21" s="15">
        <f t="shared" si="28"/>
        <v>-8.0724355643240031</v>
      </c>
      <c r="AQ21" s="9">
        <f t="shared" si="29"/>
        <v>-18.727467533155234</v>
      </c>
      <c r="AR21" s="10">
        <f t="shared" si="30"/>
        <v>-19.05588126750726</v>
      </c>
      <c r="AS21" s="11">
        <f t="shared" si="31"/>
        <v>-19.137485257689235</v>
      </c>
      <c r="AT21" s="12">
        <f t="shared" si="32"/>
        <v>-19.259512085504618</v>
      </c>
      <c r="AU21" s="13">
        <f t="shared" si="33"/>
        <v>-19.340608887201846</v>
      </c>
      <c r="AV21" s="14">
        <f t="shared" si="34"/>
        <v>-19.461869640865459</v>
      </c>
      <c r="AW21" s="15">
        <f t="shared" si="35"/>
        <v>-19.542452195085904</v>
      </c>
      <c r="AY21" s="9">
        <f t="shared" si="36"/>
        <v>-15.282205340569252</v>
      </c>
      <c r="AZ21" s="10">
        <f t="shared" si="37"/>
        <v>-15.058052244520791</v>
      </c>
      <c r="BA21" s="11">
        <f t="shared" si="38"/>
        <v>-14.83296217441808</v>
      </c>
      <c r="BB21" s="12">
        <f t="shared" si="39"/>
        <v>-14.606951719479925</v>
      </c>
      <c r="BC21" s="13">
        <f t="shared" si="40"/>
        <v>-14.380037410399158</v>
      </c>
      <c r="BD21" s="14">
        <f t="shared" si="41"/>
        <v>-14.152235719264386</v>
      </c>
      <c r="BE21" s="15">
        <f t="shared" si="42"/>
        <v>-13.923563059542207</v>
      </c>
      <c r="BJ21" s="9">
        <f t="shared" si="43"/>
        <v>-25.65871328202627</v>
      </c>
      <c r="BK21" s="10">
        <f t="shared" si="44"/>
        <v>-26.082538465597604</v>
      </c>
      <c r="BL21" s="11">
        <f t="shared" si="45"/>
        <v>-26.187881950228238</v>
      </c>
      <c r="BM21" s="12">
        <f t="shared" si="46"/>
        <v>-26.345431093205871</v>
      </c>
      <c r="BN21" s="13">
        <f t="shared" si="47"/>
        <v>-26.450150793352591</v>
      </c>
      <c r="BO21" s="14">
        <f t="shared" si="48"/>
        <v>-26.606756724075719</v>
      </c>
      <c r="BP21" s="15">
        <f t="shared" si="49"/>
        <v>-26.710842572910497</v>
      </c>
      <c r="BR21" s="9">
        <f t="shared" si="50"/>
        <v>-21.224968234553248</v>
      </c>
      <c r="BS21" s="10">
        <f t="shared" si="51"/>
        <v>-20.937266403219624</v>
      </c>
      <c r="BT21" s="11">
        <f t="shared" si="52"/>
        <v>-20.648450004024124</v>
      </c>
      <c r="BU21" s="12">
        <f t="shared" si="53"/>
        <v>-20.358540032861093</v>
      </c>
      <c r="BV21" s="13">
        <f t="shared" si="54"/>
        <v>-20.067557293945363</v>
      </c>
      <c r="BW21" s="14">
        <f t="shared" si="55"/>
        <v>-19.775522401900634</v>
      </c>
      <c r="BX21" s="15">
        <f t="shared" si="56"/>
        <v>-19.482455783923655</v>
      </c>
    </row>
    <row r="22" spans="1:76">
      <c r="A22">
        <f t="shared" si="57"/>
        <v>-80</v>
      </c>
      <c r="B22">
        <f t="shared" si="7"/>
        <v>-80</v>
      </c>
      <c r="E22" s="9">
        <f t="shared" si="0"/>
        <v>2.9223100016568284</v>
      </c>
      <c r="F22" s="10">
        <f t="shared" si="1"/>
        <v>2.7723463371631776</v>
      </c>
      <c r="G22" s="11">
        <f t="shared" si="2"/>
        <v>2.734772774213674</v>
      </c>
      <c r="H22" s="12">
        <f t="shared" si="3"/>
        <v>2.6783522506797386</v>
      </c>
      <c r="I22" s="13">
        <f t="shared" si="4"/>
        <v>2.6406990979700611</v>
      </c>
      <c r="J22" s="14">
        <f t="shared" si="5"/>
        <v>2.5841612768617281</v>
      </c>
      <c r="K22" s="15">
        <f t="shared" si="6"/>
        <v>2.5464313181000549</v>
      </c>
      <c r="M22" s="9">
        <f t="shared" si="8"/>
        <v>4.3870343770144844</v>
      </c>
      <c r="N22" s="10">
        <f t="shared" si="9"/>
        <v>4.4761123521522288</v>
      </c>
      <c r="O22" s="11">
        <f t="shared" si="10"/>
        <v>4.5648595595493715</v>
      </c>
      <c r="P22" s="12">
        <f t="shared" si="11"/>
        <v>4.6532693309308311</v>
      </c>
      <c r="Q22" s="13">
        <f t="shared" si="12"/>
        <v>4.7413350168749862</v>
      </c>
      <c r="R22" s="14">
        <f t="shared" si="13"/>
        <v>4.8290499872592534</v>
      </c>
      <c r="S22" s="15">
        <f t="shared" si="14"/>
        <v>4.91640763170866</v>
      </c>
      <c r="X22" s="9">
        <f t="shared" si="15"/>
        <v>-8.3363818129013918</v>
      </c>
      <c r="Y22" s="10">
        <f t="shared" si="16"/>
        <v>-8.6187440282485657</v>
      </c>
      <c r="Z22" s="11">
        <f t="shared" si="17"/>
        <v>-8.6891048343310882</v>
      </c>
      <c r="AA22" s="12">
        <f t="shared" si="18"/>
        <v>-8.7944704689975541</v>
      </c>
      <c r="AB22" s="13">
        <f t="shared" si="19"/>
        <v>-8.864596003969865</v>
      </c>
      <c r="AC22" s="14">
        <f t="shared" si="20"/>
        <v>-8.9696049650716869</v>
      </c>
      <c r="AD22" s="15">
        <f t="shared" si="21"/>
        <v>-9.0394902060695568</v>
      </c>
      <c r="AF22" s="9">
        <f t="shared" si="22"/>
        <v>-5.4424741046870002</v>
      </c>
      <c r="AG22" s="10">
        <f t="shared" si="23"/>
        <v>-5.2580207840894433</v>
      </c>
      <c r="AH22" s="11">
        <f t="shared" si="24"/>
        <v>-5.0732206656370016</v>
      </c>
      <c r="AI22" s="12">
        <f t="shared" si="25"/>
        <v>-4.8880861981339088</v>
      </c>
      <c r="AJ22" s="13">
        <f t="shared" si="26"/>
        <v>-4.7026298246774889</v>
      </c>
      <c r="AK22" s="14">
        <f t="shared" si="27"/>
        <v>-4.5168639827488377</v>
      </c>
      <c r="AL22" s="15">
        <f t="shared" si="28"/>
        <v>-4.3308011043172314</v>
      </c>
      <c r="AQ22" s="9">
        <f t="shared" si="29"/>
        <v>-15.720570333706766</v>
      </c>
      <c r="AR22" s="10">
        <f t="shared" si="30"/>
        <v>-16.090257188430424</v>
      </c>
      <c r="AS22" s="11">
        <f t="shared" si="31"/>
        <v>-16.182284994832102</v>
      </c>
      <c r="AT22" s="12">
        <f t="shared" si="32"/>
        <v>-16.320026785863075</v>
      </c>
      <c r="AU22" s="13">
        <f t="shared" si="33"/>
        <v>-16.411653084837955</v>
      </c>
      <c r="AV22" s="14">
        <f t="shared" si="34"/>
        <v>-16.548787414882703</v>
      </c>
      <c r="AW22" s="15">
        <f t="shared" si="35"/>
        <v>-16.64000526681416</v>
      </c>
      <c r="AY22" s="9">
        <f t="shared" si="36"/>
        <v>-11.89935568874974</v>
      </c>
      <c r="AZ22" s="10">
        <f t="shared" si="37"/>
        <v>-11.653898502291717</v>
      </c>
      <c r="BA22" s="11">
        <f t="shared" si="38"/>
        <v>-11.407758861551653</v>
      </c>
      <c r="BB22" s="12">
        <f t="shared" si="39"/>
        <v>-11.16095274205869</v>
      </c>
      <c r="BC22" s="13">
        <f t="shared" si="40"/>
        <v>-10.913496057769111</v>
      </c>
      <c r="BD22" s="14">
        <f t="shared" si="41"/>
        <v>-10.665404661976202</v>
      </c>
      <c r="BE22" s="15">
        <f t="shared" si="42"/>
        <v>-10.416694348256948</v>
      </c>
      <c r="BJ22" s="9">
        <f t="shared" si="43"/>
        <v>-22.872082001533546</v>
      </c>
      <c r="BK22" s="10">
        <f t="shared" si="44"/>
        <v>-23.329769114517664</v>
      </c>
      <c r="BL22" s="11">
        <f t="shared" si="45"/>
        <v>-23.443686442595414</v>
      </c>
      <c r="BM22" s="12">
        <f t="shared" si="46"/>
        <v>-23.614178164421077</v>
      </c>
      <c r="BN22" s="13">
        <f t="shared" si="47"/>
        <v>-23.727580987013919</v>
      </c>
      <c r="BO22" s="14">
        <f t="shared" si="48"/>
        <v>-23.897294037945287</v>
      </c>
      <c r="BP22" s="15">
        <f t="shared" si="49"/>
        <v>-24.010173117467684</v>
      </c>
      <c r="BR22" s="9">
        <f t="shared" si="50"/>
        <v>-18.136083359299445</v>
      </c>
      <c r="BS22" s="10">
        <f t="shared" si="51"/>
        <v>-17.831576033344579</v>
      </c>
      <c r="BT22" s="11">
        <f t="shared" si="52"/>
        <v>-17.526187228744092</v>
      </c>
      <c r="BU22" s="12">
        <f t="shared" si="53"/>
        <v>-17.219935970579662</v>
      </c>
      <c r="BV22" s="13">
        <f t="shared" si="54"/>
        <v>-16.91284111137044</v>
      </c>
      <c r="BW22" s="14">
        <f t="shared" si="55"/>
        <v>-16.604921334059124</v>
      </c>
      <c r="BX22" s="15">
        <f t="shared" si="56"/>
        <v>-16.296195155027824</v>
      </c>
    </row>
    <row r="23" spans="1:76">
      <c r="A23">
        <f t="shared" si="57"/>
        <v>-75</v>
      </c>
      <c r="B23">
        <f t="shared" si="7"/>
        <v>-75</v>
      </c>
      <c r="E23" s="9">
        <f t="shared" si="0"/>
        <v>6.1859396796417121</v>
      </c>
      <c r="F23" s="10">
        <f t="shared" si="1"/>
        <v>5.9842665858944537</v>
      </c>
      <c r="G23" s="11">
        <f t="shared" si="2"/>
        <v>5.933675558301938</v>
      </c>
      <c r="H23" s="12">
        <f t="shared" si="3"/>
        <v>5.8576618709902357</v>
      </c>
      <c r="I23" s="13">
        <f t="shared" si="4"/>
        <v>5.8069021851216034</v>
      </c>
      <c r="J23" s="14">
        <f t="shared" si="5"/>
        <v>5.7306383067370792</v>
      </c>
      <c r="K23" s="15">
        <f t="shared" si="6"/>
        <v>5.6797136923560458</v>
      </c>
      <c r="M23" s="9">
        <f t="shared" si="8"/>
        <v>8.134063398651568</v>
      </c>
      <c r="N23" s="10">
        <f t="shared" si="9"/>
        <v>8.2511975552224666</v>
      </c>
      <c r="O23" s="11">
        <f t="shared" si="10"/>
        <v>8.367733518879291</v>
      </c>
      <c r="P23" s="12">
        <f t="shared" si="11"/>
        <v>8.4836623599672425</v>
      </c>
      <c r="Q23" s="13">
        <f t="shared" si="12"/>
        <v>8.5989751747712386</v>
      </c>
      <c r="R23" s="14">
        <f t="shared" si="13"/>
        <v>8.7136630862075837</v>
      </c>
      <c r="S23" s="15">
        <f t="shared" si="14"/>
        <v>8.8277172445268732</v>
      </c>
      <c r="X23" s="9">
        <f t="shared" si="15"/>
        <v>-5.245937558303754</v>
      </c>
      <c r="Y23" s="10">
        <f t="shared" si="16"/>
        <v>-5.5745580120234735</v>
      </c>
      <c r="Z23" s="11">
        <f t="shared" si="17"/>
        <v>-5.6565735803169055</v>
      </c>
      <c r="AA23" s="12">
        <f t="shared" si="18"/>
        <v>-5.7794887997566669</v>
      </c>
      <c r="AB23" s="13">
        <f t="shared" si="19"/>
        <v>-5.8613589426172092</v>
      </c>
      <c r="AC23" s="14">
        <f t="shared" si="20"/>
        <v>-5.9840520110326976</v>
      </c>
      <c r="AD23" s="15">
        <f t="shared" si="21"/>
        <v>-6.0657713766366763</v>
      </c>
      <c r="AF23" s="9">
        <f t="shared" si="22"/>
        <v>-1.9218531512711576</v>
      </c>
      <c r="AG23" s="10">
        <f t="shared" si="23"/>
        <v>-1.7125096316571145</v>
      </c>
      <c r="AH23" s="11">
        <f t="shared" si="24"/>
        <v>-1.5030585383853887</v>
      </c>
      <c r="AI23" s="12">
        <f t="shared" si="25"/>
        <v>-1.293513054246191</v>
      </c>
      <c r="AJ23" s="13">
        <f t="shared" si="26"/>
        <v>-1.0838863578626845</v>
      </c>
      <c r="AK23" s="14">
        <f t="shared" si="27"/>
        <v>-0.87419162426416364</v>
      </c>
      <c r="AL23" s="15">
        <f t="shared" si="28"/>
        <v>-0.66444202546295505</v>
      </c>
      <c r="AQ23" s="9">
        <f t="shared" si="29"/>
        <v>-12.80249083858582</v>
      </c>
      <c r="AR23" s="10">
        <f t="shared" si="30"/>
        <v>-13.212675641635217</v>
      </c>
      <c r="AS23" s="11">
        <f t="shared" si="31"/>
        <v>-13.314921971550508</v>
      </c>
      <c r="AT23" s="12">
        <f t="shared" si="32"/>
        <v>-13.468062206912176</v>
      </c>
      <c r="AU23" s="13">
        <f t="shared" si="33"/>
        <v>-13.570001287965743</v>
      </c>
      <c r="AV23" s="14">
        <f t="shared" si="34"/>
        <v>-13.722675598613755</v>
      </c>
      <c r="AW23" s="15">
        <f t="shared" si="35"/>
        <v>-13.824300687906099</v>
      </c>
      <c r="AY23" s="9">
        <f t="shared" si="36"/>
        <v>-8.6089411926898549</v>
      </c>
      <c r="AZ23" s="10">
        <f t="shared" si="37"/>
        <v>-8.342154552079041</v>
      </c>
      <c r="BA23" s="11">
        <f t="shared" si="38"/>
        <v>-8.0749105605737963</v>
      </c>
      <c r="BB23" s="12">
        <f t="shared" si="39"/>
        <v>-7.8072246637045595</v>
      </c>
      <c r="BC23" s="13">
        <f t="shared" si="40"/>
        <v>-7.5391122531131884</v>
      </c>
      <c r="BD23" s="14">
        <f t="shared" si="41"/>
        <v>-7.2705886682052849</v>
      </c>
      <c r="BE23" s="15">
        <f t="shared" si="42"/>
        <v>-7.0016691978207737</v>
      </c>
      <c r="BJ23" s="9">
        <f t="shared" si="43"/>
        <v>-20.182884841567052</v>
      </c>
      <c r="BK23" s="10">
        <f t="shared" si="44"/>
        <v>-20.673776650846069</v>
      </c>
      <c r="BL23" s="11">
        <f t="shared" si="45"/>
        <v>-20.796090983716912</v>
      </c>
      <c r="BM23" s="12">
        <f t="shared" si="46"/>
        <v>-20.979250612819751</v>
      </c>
      <c r="BN23" s="13">
        <f t="shared" si="47"/>
        <v>-21.10114716316215</v>
      </c>
      <c r="BO23" s="14">
        <f t="shared" si="48"/>
        <v>-21.283673815197645</v>
      </c>
      <c r="BP23" s="15">
        <f t="shared" si="49"/>
        <v>-21.405144158221773</v>
      </c>
      <c r="BR23" s="9">
        <f t="shared" si="50"/>
        <v>-15.146896608008305</v>
      </c>
      <c r="BS23" s="10">
        <f t="shared" si="51"/>
        <v>-14.825474240173453</v>
      </c>
      <c r="BT23" s="11">
        <f t="shared" si="52"/>
        <v>-14.503375226202461</v>
      </c>
      <c r="BU23" s="12">
        <f t="shared" si="53"/>
        <v>-14.18061686429005</v>
      </c>
      <c r="BV23" s="13">
        <f t="shared" si="54"/>
        <v>-13.85721630404144</v>
      </c>
      <c r="BW23" s="14">
        <f t="shared" si="55"/>
        <v>-13.533190550004552</v>
      </c>
      <c r="BX23" s="15">
        <f t="shared" si="56"/>
        <v>-13.208556465202218</v>
      </c>
    </row>
    <row r="24" spans="1:76">
      <c r="A24">
        <f t="shared" si="57"/>
        <v>-70</v>
      </c>
      <c r="B24">
        <f t="shared" si="7"/>
        <v>-70</v>
      </c>
      <c r="E24" s="9">
        <f t="shared" si="0"/>
        <v>9.3936104460681822</v>
      </c>
      <c r="F24" s="10">
        <f t="shared" si="1"/>
        <v>9.1401817639171163</v>
      </c>
      <c r="G24" s="11">
        <f t="shared" si="2"/>
        <v>9.0765702681487621</v>
      </c>
      <c r="H24" s="12">
        <f t="shared" si="3"/>
        <v>8.980965328661787</v>
      </c>
      <c r="I24" s="13">
        <f t="shared" si="4"/>
        <v>8.9171046663930067</v>
      </c>
      <c r="J24" s="14">
        <f t="shared" si="5"/>
        <v>8.8211294960085489</v>
      </c>
      <c r="K24" s="15">
        <f t="shared" si="6"/>
        <v>8.7570243595650741</v>
      </c>
      <c r="M24" s="9">
        <f t="shared" si="8"/>
        <v>11.82850386171947</v>
      </c>
      <c r="N24" s="10">
        <f t="shared" si="9"/>
        <v>11.974071405230669</v>
      </c>
      <c r="O24" s="11">
        <f t="shared" si="10"/>
        <v>12.118791542874083</v>
      </c>
      <c r="P24" s="12">
        <f t="shared" si="11"/>
        <v>12.26265279735941</v>
      </c>
      <c r="Q24" s="13">
        <f t="shared" si="12"/>
        <v>12.40564371306332</v>
      </c>
      <c r="R24" s="14">
        <f t="shared" si="13"/>
        <v>12.547752857090488</v>
      </c>
      <c r="S24" s="15">
        <f t="shared" si="14"/>
        <v>12.6889688203622</v>
      </c>
      <c r="X24" s="9">
        <f t="shared" si="15"/>
        <v>-2.241757540546911</v>
      </c>
      <c r="Y24" s="10">
        <f t="shared" si="16"/>
        <v>-2.6160224614168812</v>
      </c>
      <c r="Z24" s="11">
        <f t="shared" si="17"/>
        <v>-2.7095286222146227</v>
      </c>
      <c r="AA24" s="12">
        <f t="shared" si="18"/>
        <v>-2.8497391717575753</v>
      </c>
      <c r="AB24" s="13">
        <f t="shared" si="19"/>
        <v>-2.9431791030104613</v>
      </c>
      <c r="AC24" s="14">
        <f t="shared" si="20"/>
        <v>-3.0832861050762181</v>
      </c>
      <c r="AD24" s="15">
        <f t="shared" si="21"/>
        <v>-3.1766542013871479</v>
      </c>
      <c r="AF24" s="9">
        <f t="shared" si="22"/>
        <v>1.5102411176160888</v>
      </c>
      <c r="AG24" s="10">
        <f t="shared" si="23"/>
        <v>1.7445706192629282</v>
      </c>
      <c r="AH24" s="11">
        <f t="shared" si="24"/>
        <v>1.9787964000285441</v>
      </c>
      <c r="AI24" s="12">
        <f t="shared" si="25"/>
        <v>2.2129044926694208</v>
      </c>
      <c r="AJ24" s="13">
        <f t="shared" si="26"/>
        <v>2.4468809212098233</v>
      </c>
      <c r="AK24" s="14">
        <f t="shared" si="27"/>
        <v>2.6807116999250993</v>
      </c>
      <c r="AL24" s="15">
        <f t="shared" si="28"/>
        <v>2.9143828323310412</v>
      </c>
      <c r="AQ24" s="9">
        <f t="shared" si="29"/>
        <v>-9.9842336317133693</v>
      </c>
      <c r="AR24" s="10">
        <f t="shared" si="30"/>
        <v>-10.434121751243</v>
      </c>
      <c r="AS24" s="11">
        <f t="shared" si="31"/>
        <v>-10.546376284031826</v>
      </c>
      <c r="AT24" s="12">
        <f t="shared" si="32"/>
        <v>-10.714590767888772</v>
      </c>
      <c r="AU24" s="13">
        <f t="shared" si="33"/>
        <v>-10.826620702979634</v>
      </c>
      <c r="AV24" s="14">
        <f t="shared" si="34"/>
        <v>-10.994493428295597</v>
      </c>
      <c r="AW24" s="15">
        <f t="shared" si="35"/>
        <v>-11.106292275395781</v>
      </c>
      <c r="AY24" s="9">
        <f t="shared" si="36"/>
        <v>-5.4221321701251952</v>
      </c>
      <c r="AZ24" s="10">
        <f t="shared" si="37"/>
        <v>-5.1340003179555547</v>
      </c>
      <c r="BA24" s="11">
        <f t="shared" si="38"/>
        <v>-4.845606740764298</v>
      </c>
      <c r="BB24" s="12">
        <f t="shared" si="39"/>
        <v>-4.5569664298875221</v>
      </c>
      <c r="BC24" s="13">
        <f t="shared" si="40"/>
        <v>-4.2680943388746346</v>
      </c>
      <c r="BD24" s="14">
        <f t="shared" si="41"/>
        <v>-3.9790053857190837</v>
      </c>
      <c r="BE24" s="15">
        <f t="shared" si="42"/>
        <v>-3.6897144550949648</v>
      </c>
      <c r="BJ24" s="9">
        <f t="shared" si="43"/>
        <v>-17.600025031751382</v>
      </c>
      <c r="BK24" s="10">
        <f t="shared" si="44"/>
        <v>-18.123400524185584</v>
      </c>
      <c r="BL24" s="11">
        <f t="shared" si="45"/>
        <v>-18.253919678457326</v>
      </c>
      <c r="BM24" s="12">
        <f t="shared" si="46"/>
        <v>-18.449449973122121</v>
      </c>
      <c r="BN24" s="13">
        <f t="shared" si="47"/>
        <v>-18.579636106239043</v>
      </c>
      <c r="BO24" s="14">
        <f t="shared" si="48"/>
        <v>-18.774661156642907</v>
      </c>
      <c r="BP24" s="15">
        <f t="shared" si="49"/>
        <v>-18.904506632809159</v>
      </c>
      <c r="BR24" s="9">
        <f t="shared" si="50"/>
        <v>-12.26715474110213</v>
      </c>
      <c r="BS24" s="10">
        <f t="shared" si="51"/>
        <v>-11.928771703660253</v>
      </c>
      <c r="BT24" s="11">
        <f t="shared" si="52"/>
        <v>-11.589889689004027</v>
      </c>
      <c r="BU24" s="12">
        <f t="shared" si="53"/>
        <v>-11.250524463861213</v>
      </c>
      <c r="BV24" s="13">
        <f t="shared" si="54"/>
        <v>-10.910691673366074</v>
      </c>
      <c r="BW24" s="14">
        <f t="shared" si="55"/>
        <v>-10.570406844901164</v>
      </c>
      <c r="BX24" s="15">
        <f t="shared" si="56"/>
        <v>-10.22968539192191</v>
      </c>
    </row>
    <row r="25" spans="1:76">
      <c r="A25">
        <f t="shared" si="57"/>
        <v>-65</v>
      </c>
      <c r="B25">
        <f t="shared" si="7"/>
        <v>-65</v>
      </c>
      <c r="E25" s="9">
        <f t="shared" si="0"/>
        <v>12.529449081532814</v>
      </c>
      <c r="F25" s="10">
        <f t="shared" si="1"/>
        <v>12.224200477093214</v>
      </c>
      <c r="G25" s="11">
        <f t="shared" si="2"/>
        <v>12.147563355941445</v>
      </c>
      <c r="H25" s="12">
        <f t="shared" si="3"/>
        <v>12.032367637151674</v>
      </c>
      <c r="I25" s="13">
        <f t="shared" si="4"/>
        <v>11.955411790148148</v>
      </c>
      <c r="J25" s="14">
        <f t="shared" si="5"/>
        <v>11.839742235473347</v>
      </c>
      <c r="K25" s="15">
        <f t="shared" si="6"/>
        <v>11.762473331472837</v>
      </c>
      <c r="M25" s="9">
        <f t="shared" si="8"/>
        <v>15.455495429675267</v>
      </c>
      <c r="N25" s="10">
        <f t="shared" si="9"/>
        <v>15.62998553923936</v>
      </c>
      <c r="O25" s="11">
        <f t="shared" si="10"/>
        <v>15.803402685011108</v>
      </c>
      <c r="P25" s="12">
        <f t="shared" si="11"/>
        <v>15.975732489337737</v>
      </c>
      <c r="Q25" s="13">
        <f t="shared" si="12"/>
        <v>16.14696057629644</v>
      </c>
      <c r="R25" s="14">
        <f t="shared" si="13"/>
        <v>16.317072573199681</v>
      </c>
      <c r="S25" s="15">
        <f t="shared" si="14"/>
        <v>16.486054112156395</v>
      </c>
      <c r="X25" s="9">
        <f t="shared" si="15"/>
        <v>0.66247901466939463</v>
      </c>
      <c r="Y25" s="10">
        <f t="shared" si="16"/>
        <v>0.2432282794774244</v>
      </c>
      <c r="Z25" s="11">
        <f t="shared" si="17"/>
        <v>0.13840790541607514</v>
      </c>
      <c r="AA25" s="12">
        <f t="shared" si="18"/>
        <v>-1.8824659706482498E-2</v>
      </c>
      <c r="AB25" s="13">
        <f t="shared" si="19"/>
        <v>-0.12364635482677407</v>
      </c>
      <c r="AC25" s="14">
        <f t="shared" si="20"/>
        <v>-0.28087655909220766</v>
      </c>
      <c r="AD25" s="15">
        <f t="shared" si="21"/>
        <v>-0.38569378530288073</v>
      </c>
      <c r="AF25" s="9">
        <f t="shared" si="22"/>
        <v>4.8400218438179872</v>
      </c>
      <c r="AG25" s="10">
        <f t="shared" si="23"/>
        <v>5.0994468330667546</v>
      </c>
      <c r="AH25" s="11">
        <f t="shared" si="24"/>
        <v>5.3585871544600101</v>
      </c>
      <c r="AI25" s="12">
        <f t="shared" si="25"/>
        <v>5.6174280114875952</v>
      </c>
      <c r="AJ25" s="13">
        <f t="shared" si="26"/>
        <v>5.875954575171269</v>
      </c>
      <c r="AK25" s="14">
        <f t="shared" si="27"/>
        <v>6.1341519825745623</v>
      </c>
      <c r="AL25" s="15">
        <f t="shared" si="28"/>
        <v>6.3920053353263482</v>
      </c>
      <c r="AQ25" s="9">
        <f t="shared" si="29"/>
        <v>-7.2773131666121875</v>
      </c>
      <c r="AR25" s="10">
        <f t="shared" si="30"/>
        <v>-7.76604066002308</v>
      </c>
      <c r="AS25" s="11">
        <f t="shared" si="31"/>
        <v>-7.8880756296666288</v>
      </c>
      <c r="AT25" s="12">
        <f t="shared" si="32"/>
        <v>-8.0710139040750128</v>
      </c>
      <c r="AU25" s="13">
        <f t="shared" si="33"/>
        <v>-8.1928951921049791</v>
      </c>
      <c r="AV25" s="14">
        <f t="shared" si="34"/>
        <v>-8.3755983049120211</v>
      </c>
      <c r="AW25" s="15">
        <f t="shared" si="35"/>
        <v>-8.4973197190822951</v>
      </c>
      <c r="AY25" s="9">
        <f t="shared" si="36"/>
        <v>-2.3511019520828889</v>
      </c>
      <c r="AZ25" s="10">
        <f t="shared" si="37"/>
        <v>-2.0416480108384381</v>
      </c>
      <c r="BA25" s="11">
        <f t="shared" si="38"/>
        <v>-1.7320981227957146</v>
      </c>
      <c r="BB25" s="12">
        <f t="shared" si="39"/>
        <v>-1.4224668738098503</v>
      </c>
      <c r="BC25" s="13">
        <f t="shared" si="40"/>
        <v>-1.1127688345372631</v>
      </c>
      <c r="BD25" s="14">
        <f t="shared" si="41"/>
        <v>-0.80301856315329478</v>
      </c>
      <c r="BE25" s="15">
        <f t="shared" si="42"/>
        <v>-0.49323060807002972</v>
      </c>
      <c r="BJ25" s="9">
        <f t="shared" si="43"/>
        <v>-15.132791136192337</v>
      </c>
      <c r="BK25" s="10">
        <f t="shared" si="44"/>
        <v>-15.687831073103569</v>
      </c>
      <c r="BL25" s="11">
        <f t="shared" si="45"/>
        <v>-15.826338843293241</v>
      </c>
      <c r="BM25" s="12">
        <f t="shared" si="46"/>
        <v>-16.03390692941036</v>
      </c>
      <c r="BN25" s="13">
        <f t="shared" si="47"/>
        <v>-16.172155012307972</v>
      </c>
      <c r="BO25" s="14">
        <f t="shared" si="48"/>
        <v>-16.37932842595098</v>
      </c>
      <c r="BP25" s="15">
        <f t="shared" si="49"/>
        <v>-16.517309949121177</v>
      </c>
      <c r="BR25" s="9">
        <f t="shared" si="50"/>
        <v>-9.5073039839702265</v>
      </c>
      <c r="BS25" s="10">
        <f t="shared" si="51"/>
        <v>-9.1519961160269006</v>
      </c>
      <c r="BT25" s="11">
        <f t="shared" si="52"/>
        <v>-8.7963406126676773</v>
      </c>
      <c r="BU25" s="12">
        <f t="shared" si="53"/>
        <v>-8.4403518563544413</v>
      </c>
      <c r="BV25" s="13">
        <f t="shared" si="54"/>
        <v>-8.0840441364564004</v>
      </c>
      <c r="BW25" s="14">
        <f t="shared" si="55"/>
        <v>-7.7274316532463638</v>
      </c>
      <c r="BX25" s="15">
        <f t="shared" si="56"/>
        <v>-7.3705285218726644</v>
      </c>
    </row>
    <row r="26" spans="1:76">
      <c r="A26">
        <f t="shared" si="57"/>
        <v>-60</v>
      </c>
      <c r="B26">
        <f t="shared" si="7"/>
        <v>-60</v>
      </c>
      <c r="E26" s="9">
        <f t="shared" si="0"/>
        <v>15.576386235933873</v>
      </c>
      <c r="F26" s="10">
        <f t="shared" si="1"/>
        <v>15.21929795310346</v>
      </c>
      <c r="G26" s="11">
        <f t="shared" si="2"/>
        <v>15.129643639999239</v>
      </c>
      <c r="H26" s="12">
        <f t="shared" si="3"/>
        <v>14.994879820998429</v>
      </c>
      <c r="I26" s="13">
        <f t="shared" si="4"/>
        <v>14.904850593260042</v>
      </c>
      <c r="J26" s="14">
        <f t="shared" si="5"/>
        <v>14.769529383499814</v>
      </c>
      <c r="K26" s="15">
        <f t="shared" si="6"/>
        <v>14.679131877259417</v>
      </c>
      <c r="M26" s="9">
        <f t="shared" si="8"/>
        <v>18.998419654338587</v>
      </c>
      <c r="N26" s="10">
        <f t="shared" si="9"/>
        <v>19.202405176189703</v>
      </c>
      <c r="O26" s="11">
        <f t="shared" si="10"/>
        <v>19.405122391723744</v>
      </c>
      <c r="P26" s="12">
        <f t="shared" si="11"/>
        <v>19.606553652760628</v>
      </c>
      <c r="Q26" s="13">
        <f t="shared" si="12"/>
        <v>19.806681271784701</v>
      </c>
      <c r="R26" s="14">
        <f t="shared" si="13"/>
        <v>20.005487523815269</v>
      </c>
      <c r="S26" s="15">
        <f t="shared" si="14"/>
        <v>20.20295464837681</v>
      </c>
      <c r="X26" s="9">
        <f t="shared" si="15"/>
        <v>3.4523285624576401</v>
      </c>
      <c r="Y26" s="10">
        <f t="shared" si="16"/>
        <v>2.9888580214760516</v>
      </c>
      <c r="Z26" s="11">
        <f t="shared" si="17"/>
        <v>2.8729275045956459</v>
      </c>
      <c r="AA26" s="12">
        <f t="shared" si="18"/>
        <v>2.6989884100226162</v>
      </c>
      <c r="AB26" s="13">
        <f t="shared" si="19"/>
        <v>2.5830015117107399</v>
      </c>
      <c r="AC26" s="14">
        <f t="shared" si="20"/>
        <v>2.4089822712032944</v>
      </c>
      <c r="AD26" s="15">
        <f t="shared" si="21"/>
        <v>2.2929448911484966</v>
      </c>
      <c r="AF26" s="9">
        <f t="shared" si="22"/>
        <v>8.0522929477057748</v>
      </c>
      <c r="AG26" s="10">
        <f t="shared" si="23"/>
        <v>8.3368969658235255</v>
      </c>
      <c r="AH26" s="11">
        <f t="shared" si="24"/>
        <v>8.6210684250861025</v>
      </c>
      <c r="AI26" s="12">
        <f t="shared" si="25"/>
        <v>8.9047916978582347</v>
      </c>
      <c r="AJ26" s="13">
        <f t="shared" si="26"/>
        <v>9.1880510901282069</v>
      </c>
      <c r="AK26" s="14">
        <f t="shared" si="27"/>
        <v>9.4708308394247389</v>
      </c>
      <c r="AL26" s="15">
        <f t="shared" si="28"/>
        <v>9.7531151127501534</v>
      </c>
      <c r="AQ26" s="9">
        <f t="shared" si="29"/>
        <v>-4.6937827162768961</v>
      </c>
      <c r="AR26" s="10">
        <f t="shared" si="30"/>
        <v>-5.220365211762263</v>
      </c>
      <c r="AS26" s="11">
        <f t="shared" si="31"/>
        <v>-5.3519227158163734</v>
      </c>
      <c r="AT26" s="12">
        <f t="shared" si="32"/>
        <v>-5.5491890959286332</v>
      </c>
      <c r="AU26" s="13">
        <f t="shared" si="33"/>
        <v>-5.6806520693301978</v>
      </c>
      <c r="AV26" s="14">
        <f t="shared" si="34"/>
        <v>-5.8777722691001424</v>
      </c>
      <c r="AW26" s="15">
        <f t="shared" si="35"/>
        <v>-6.0091348609708373</v>
      </c>
      <c r="AY26" s="9">
        <f t="shared" si="36"/>
        <v>0.59091154627634535</v>
      </c>
      <c r="AZ26" s="10">
        <f t="shared" si="37"/>
        <v>0.92159282355500927</v>
      </c>
      <c r="BA26" s="11">
        <f t="shared" si="38"/>
        <v>1.2522346083659177</v>
      </c>
      <c r="BB26" s="12">
        <f t="shared" si="39"/>
        <v>1.5828227162442898</v>
      </c>
      <c r="BC26" s="13">
        <f t="shared" si="40"/>
        <v>1.9133429507205408</v>
      </c>
      <c r="BD26" s="14">
        <f t="shared" si="41"/>
        <v>2.2437811001475017</v>
      </c>
      <c r="BE26" s="15">
        <f t="shared" si="42"/>
        <v>2.5741229345258079</v>
      </c>
      <c r="BJ26" s="9">
        <f t="shared" si="43"/>
        <v>-12.790828196530809</v>
      </c>
      <c r="BK26" s="10">
        <f t="shared" si="44"/>
        <v>-13.376581436352192</v>
      </c>
      <c r="BL26" s="11">
        <f t="shared" si="45"/>
        <v>-13.522829162237093</v>
      </c>
      <c r="BM26" s="12">
        <f t="shared" si="46"/>
        <v>-13.742053876387459</v>
      </c>
      <c r="BN26" s="13">
        <f t="shared" si="47"/>
        <v>-13.888104345598169</v>
      </c>
      <c r="BO26" s="14">
        <f t="shared" si="48"/>
        <v>-14.107028585907896</v>
      </c>
      <c r="BP26" s="15">
        <f t="shared" si="49"/>
        <v>-14.252875665405268</v>
      </c>
      <c r="BR26" s="9">
        <f t="shared" si="50"/>
        <v>-6.8784748596813339</v>
      </c>
      <c r="BS26" s="10">
        <f t="shared" si="51"/>
        <v>-6.5063792711766952</v>
      </c>
      <c r="BT26" s="11">
        <f t="shared" si="52"/>
        <v>-6.1340618122598212</v>
      </c>
      <c r="BU26" s="12">
        <f t="shared" si="53"/>
        <v>-5.7615355803640185</v>
      </c>
      <c r="BV26" s="13">
        <f t="shared" si="54"/>
        <v>-5.3888136084552603</v>
      </c>
      <c r="BW26" s="14">
        <f t="shared" si="55"/>
        <v>-5.01590886908303</v>
      </c>
      <c r="BX26" s="15">
        <f t="shared" si="56"/>
        <v>-4.642834278407781</v>
      </c>
    </row>
    <row r="27" spans="1:76">
      <c r="A27">
        <f t="shared" si="57"/>
        <v>-55</v>
      </c>
      <c r="B27">
        <f t="shared" si="7"/>
        <v>-55</v>
      </c>
      <c r="E27" s="9">
        <f t="shared" si="0"/>
        <v>18.515895945672305</v>
      </c>
      <c r="F27" s="10">
        <f t="shared" si="1"/>
        <v>18.107074861374251</v>
      </c>
      <c r="G27" s="11">
        <f t="shared" si="2"/>
        <v>18.004445870747595</v>
      </c>
      <c r="H27" s="12">
        <f t="shared" si="3"/>
        <v>17.850189538438638</v>
      </c>
      <c r="I27" s="13">
        <f t="shared" si="4"/>
        <v>17.74714518562234</v>
      </c>
      <c r="J27" s="14">
        <f t="shared" si="5"/>
        <v>17.592271478075478</v>
      </c>
      <c r="K27" s="15">
        <f t="shared" si="6"/>
        <v>17.48881930956631</v>
      </c>
      <c r="M27" s="9">
        <f t="shared" si="8"/>
        <v>22.438430378457689</v>
      </c>
      <c r="N27" s="10">
        <f t="shared" si="9"/>
        <v>22.67252642007012</v>
      </c>
      <c r="O27" s="11">
        <f t="shared" si="10"/>
        <v>22.905196831167714</v>
      </c>
      <c r="P27" s="12">
        <f t="shared" si="11"/>
        <v>23.136420378827115</v>
      </c>
      <c r="Q27" s="13">
        <f t="shared" si="12"/>
        <v>23.366175722439863</v>
      </c>
      <c r="R27" s="14">
        <f t="shared" si="13"/>
        <v>23.594441415559626</v>
      </c>
      <c r="S27" s="15">
        <f t="shared" si="14"/>
        <v>23.821195907908283</v>
      </c>
      <c r="X27" s="9">
        <f t="shared" si="15"/>
        <v>6.1125129610132172</v>
      </c>
      <c r="Y27" s="10">
        <f t="shared" si="16"/>
        <v>5.6057652982595645</v>
      </c>
      <c r="Z27" s="11">
        <f t="shared" si="17"/>
        <v>5.4789735210672346</v>
      </c>
      <c r="AA27" s="12">
        <f t="shared" si="18"/>
        <v>5.2887110723893036</v>
      </c>
      <c r="AB27" s="13">
        <f t="shared" si="19"/>
        <v>5.1618209679180644</v>
      </c>
      <c r="AC27" s="14">
        <f t="shared" si="20"/>
        <v>4.9714154705485685</v>
      </c>
      <c r="AD27" s="15">
        <f t="shared" si="21"/>
        <v>4.8444329572799925</v>
      </c>
      <c r="AF27" s="9">
        <f t="shared" si="22"/>
        <v>11.130281885449987</v>
      </c>
      <c r="AG27" s="10">
        <f t="shared" si="23"/>
        <v>11.440074928872317</v>
      </c>
      <c r="AH27" s="11">
        <f t="shared" si="24"/>
        <v>11.749323360277034</v>
      </c>
      <c r="AI27" s="12">
        <f t="shared" si="25"/>
        <v>12.058010801238709</v>
      </c>
      <c r="AJ27" s="13">
        <f t="shared" si="26"/>
        <v>12.366120764195115</v>
      </c>
      <c r="AK27" s="14">
        <f t="shared" si="27"/>
        <v>12.673636649553861</v>
      </c>
      <c r="AL27" s="15">
        <f t="shared" si="28"/>
        <v>12.980541742808862</v>
      </c>
      <c r="AQ27" s="9">
        <f t="shared" si="29"/>
        <v>-2.2462253101057397</v>
      </c>
      <c r="AR27" s="10">
        <f t="shared" si="30"/>
        <v>-2.8095056765190662</v>
      </c>
      <c r="AS27" s="11">
        <f t="shared" si="31"/>
        <v>-2.950284736972383</v>
      </c>
      <c r="AT27" s="12">
        <f t="shared" si="32"/>
        <v>-3.1614190135016407</v>
      </c>
      <c r="AU27" s="13">
        <f t="shared" si="33"/>
        <v>-3.3021510486428864</v>
      </c>
      <c r="AV27" s="14">
        <f t="shared" si="34"/>
        <v>-3.5132106925005417</v>
      </c>
      <c r="AW27" s="15">
        <f t="shared" si="35"/>
        <v>-3.65389023965685</v>
      </c>
      <c r="AY27" s="9">
        <f t="shared" si="36"/>
        <v>3.3895785062173531</v>
      </c>
      <c r="AZ27" s="10">
        <f t="shared" si="37"/>
        <v>3.7412839838257086</v>
      </c>
      <c r="BA27" s="11">
        <f t="shared" si="38"/>
        <v>4.0928452544791778</v>
      </c>
      <c r="BB27" s="12">
        <f t="shared" si="39"/>
        <v>4.4442485904524878</v>
      </c>
      <c r="BC27" s="13">
        <f t="shared" si="40"/>
        <v>4.7954802222834072</v>
      </c>
      <c r="BD27" s="14">
        <f t="shared" si="41"/>
        <v>5.1465263351358796</v>
      </c>
      <c r="BE27" s="15">
        <f t="shared" si="42"/>
        <v>5.4973730651519155</v>
      </c>
      <c r="BJ27" s="9">
        <f t="shared" si="43"/>
        <v>-10.584084544867764</v>
      </c>
      <c r="BK27" s="10">
        <f t="shared" si="44"/>
        <v>-11.199435404759569</v>
      </c>
      <c r="BL27" s="11">
        <f t="shared" si="45"/>
        <v>-11.353133846608472</v>
      </c>
      <c r="BM27" s="12">
        <f t="shared" si="46"/>
        <v>-11.58357357597809</v>
      </c>
      <c r="BN27" s="13">
        <f t="shared" si="47"/>
        <v>-11.737126849258059</v>
      </c>
      <c r="BO27" s="14">
        <f t="shared" si="48"/>
        <v>-11.96734477408404</v>
      </c>
      <c r="BP27" s="15">
        <f t="shared" si="49"/>
        <v>-12.120747464575444</v>
      </c>
      <c r="BR27" s="9">
        <f t="shared" si="50"/>
        <v>-4.3924383956120518</v>
      </c>
      <c r="BS27" s="10">
        <f t="shared" si="51"/>
        <v>-4.0038151883050759</v>
      </c>
      <c r="BT27" s="11">
        <f t="shared" si="52"/>
        <v>-3.6150711305569376</v>
      </c>
      <c r="BU27" s="12">
        <f t="shared" si="53"/>
        <v>-3.2262180875470383</v>
      </c>
      <c r="BV27" s="13">
        <f t="shared" si="54"/>
        <v>-2.8372678873846415</v>
      </c>
      <c r="BW27" s="14">
        <f t="shared" si="55"/>
        <v>-2.4482323251471869</v>
      </c>
      <c r="BX27" s="15">
        <f t="shared" si="56"/>
        <v>-2.0591231669022076</v>
      </c>
    </row>
    <row r="28" spans="1:76">
      <c r="A28">
        <f t="shared" si="57"/>
        <v>-50</v>
      </c>
      <c r="B28">
        <f t="shared" si="7"/>
        <v>-50</v>
      </c>
      <c r="E28" s="9">
        <f t="shared" si="0"/>
        <v>21.327774413268216</v>
      </c>
      <c r="F28" s="10">
        <f t="shared" si="1"/>
        <v>20.867558684451847</v>
      </c>
      <c r="G28" s="11">
        <f t="shared" si="2"/>
        <v>20.752057587841804</v>
      </c>
      <c r="H28" s="12">
        <f t="shared" si="3"/>
        <v>20.57847604400861</v>
      </c>
      <c r="I28" s="13">
        <f t="shared" si="4"/>
        <v>20.462537033847124</v>
      </c>
      <c r="J28" s="14">
        <f t="shared" si="5"/>
        <v>20.288304877618589</v>
      </c>
      <c r="K28" s="15">
        <f t="shared" si="6"/>
        <v>20.17193628000917</v>
      </c>
      <c r="M28" s="9">
        <f t="shared" si="8"/>
        <v>25.75395945188794</v>
      </c>
      <c r="N28" s="10">
        <f t="shared" si="9"/>
        <v>26.018763030996279</v>
      </c>
      <c r="O28" s="11">
        <f t="shared" si="10"/>
        <v>26.282030650619529</v>
      </c>
      <c r="P28" s="12">
        <f t="shared" si="11"/>
        <v>26.543737340394699</v>
      </c>
      <c r="Q28" s="13">
        <f t="shared" si="12"/>
        <v>26.803857921134128</v>
      </c>
      <c r="R28" s="14">
        <f t="shared" si="13"/>
        <v>27.062367005753455</v>
      </c>
      <c r="S28" s="15">
        <f t="shared" si="14"/>
        <v>27.319239000422165</v>
      </c>
      <c r="X28" s="9">
        <f t="shared" si="15"/>
        <v>8.6269048270011091</v>
      </c>
      <c r="Y28" s="10">
        <f t="shared" si="16"/>
        <v>8.0780752232558317</v>
      </c>
      <c r="Z28" s="11">
        <f t="shared" si="17"/>
        <v>7.9407345249568673</v>
      </c>
      <c r="AA28" s="12">
        <f t="shared" si="18"/>
        <v>7.7346273158682788</v>
      </c>
      <c r="AB28" s="13">
        <f t="shared" si="19"/>
        <v>7.5971597644975359</v>
      </c>
      <c r="AC28" s="14">
        <f t="shared" si="20"/>
        <v>7.3908666487512065</v>
      </c>
      <c r="AD28" s="15">
        <f t="shared" si="21"/>
        <v>7.2532780675839001</v>
      </c>
      <c r="AF28" s="9">
        <f t="shared" si="22"/>
        <v>14.055518451068554</v>
      </c>
      <c r="AG28" s="10">
        <f t="shared" si="23"/>
        <v>14.390379943258154</v>
      </c>
      <c r="AH28" s="11">
        <f t="shared" si="24"/>
        <v>14.724623115722983</v>
      </c>
      <c r="AI28" s="12">
        <f t="shared" si="25"/>
        <v>15.058231040196512</v>
      </c>
      <c r="AJ28" s="13">
        <f t="shared" si="26"/>
        <v>15.391186630260496</v>
      </c>
      <c r="AK28" s="14">
        <f t="shared" si="27"/>
        <v>15.723472637344289</v>
      </c>
      <c r="AL28" s="15">
        <f t="shared" si="28"/>
        <v>16.055071646712694</v>
      </c>
      <c r="AQ28" s="9">
        <f t="shared" si="29"/>
        <v>5.229896670872769E-2</v>
      </c>
      <c r="AR28" s="10">
        <f t="shared" si="30"/>
        <v>-0.54629658971415584</v>
      </c>
      <c r="AS28" s="11">
        <f t="shared" si="31"/>
        <v>-0.69594016054351837</v>
      </c>
      <c r="AT28" s="12">
        <f t="shared" si="32"/>
        <v>-0.92039826670539482</v>
      </c>
      <c r="AU28" s="13">
        <f t="shared" si="33"/>
        <v>-1.0700309995494341</v>
      </c>
      <c r="AV28" s="14">
        <f t="shared" si="34"/>
        <v>-1.2944690833855637</v>
      </c>
      <c r="AW28" s="15">
        <f t="shared" si="35"/>
        <v>-1.4440859568224953</v>
      </c>
      <c r="AY28" s="9">
        <f t="shared" si="36"/>
        <v>6.0294977033059238</v>
      </c>
      <c r="AZ28" s="10">
        <f t="shared" si="37"/>
        <v>6.4018750935596174</v>
      </c>
      <c r="BA28" s="11">
        <f t="shared" si="38"/>
        <v>6.7740342971753069</v>
      </c>
      <c r="BB28" s="12">
        <f t="shared" si="39"/>
        <v>7.1459621678326686</v>
      </c>
      <c r="BC28" s="13">
        <f t="shared" si="40"/>
        <v>7.5176454877205572</v>
      </c>
      <c r="BD28" s="14">
        <f t="shared" si="41"/>
        <v>7.8890709634150822</v>
      </c>
      <c r="BE28" s="15">
        <f t="shared" si="42"/>
        <v>8.2602252217288132</v>
      </c>
      <c r="BJ28" s="9">
        <f t="shared" si="43"/>
        <v>-8.5227315228944391</v>
      </c>
      <c r="BK28" s="10">
        <f t="shared" si="44"/>
        <v>-9.1663688871390718</v>
      </c>
      <c r="BL28" s="11">
        <f t="shared" si="45"/>
        <v>-9.3271805798089495</v>
      </c>
      <c r="BM28" s="12">
        <f t="shared" si="46"/>
        <v>-9.5683218509800447</v>
      </c>
      <c r="BN28" s="13">
        <f t="shared" si="47"/>
        <v>-9.7290307582587463</v>
      </c>
      <c r="BO28" s="14">
        <f t="shared" si="48"/>
        <v>-9.970014323948698</v>
      </c>
      <c r="BP28" s="15">
        <f t="shared" si="49"/>
        <v>-10.130615733294258</v>
      </c>
      <c r="BR28" s="9">
        <f t="shared" si="50"/>
        <v>-2.0615262463878485</v>
      </c>
      <c r="BS28" s="10">
        <f t="shared" si="51"/>
        <v>-1.6567815071409639</v>
      </c>
      <c r="BT28" s="11">
        <f t="shared" si="52"/>
        <v>-1.2519932694602989</v>
      </c>
      <c r="BU28" s="12">
        <f t="shared" si="53"/>
        <v>-0.84717217669184464</v>
      </c>
      <c r="BV28" s="13">
        <f t="shared" si="54"/>
        <v>-0.44232885991436566</v>
      </c>
      <c r="BW28" s="14">
        <f t="shared" si="55"/>
        <v>-3.7473941910385063E-2</v>
      </c>
      <c r="BX28" s="15">
        <f t="shared" si="56"/>
        <v>0.36738195886778918</v>
      </c>
    </row>
    <row r="29" spans="1:76">
      <c r="A29">
        <f t="shared" si="57"/>
        <v>-45</v>
      </c>
      <c r="B29">
        <f t="shared" si="7"/>
        <v>-45</v>
      </c>
      <c r="E29" s="9">
        <f t="shared" si="0"/>
        <v>23.989986862945813</v>
      </c>
      <c r="F29" s="10">
        <f t="shared" si="1"/>
        <v>23.479075574339447</v>
      </c>
      <c r="G29" s="11">
        <f t="shared" si="2"/>
        <v>23.350896960885908</v>
      </c>
      <c r="H29" s="12">
        <f t="shared" si="3"/>
        <v>23.158296807670474</v>
      </c>
      <c r="I29" s="13">
        <f t="shared" si="4"/>
        <v>23.029677301072624</v>
      </c>
      <c r="J29" s="14">
        <f t="shared" si="5"/>
        <v>22.836422485419682</v>
      </c>
      <c r="K29" s="15">
        <f t="shared" si="6"/>
        <v>22.707370963088032</v>
      </c>
      <c r="M29" s="9">
        <f t="shared" si="8"/>
        <v>28.920222726524134</v>
      </c>
      <c r="N29" s="10">
        <f t="shared" si="9"/>
        <v>29.216226300434517</v>
      </c>
      <c r="O29" s="11">
        <f t="shared" si="10"/>
        <v>29.510640308940459</v>
      </c>
      <c r="P29" s="12">
        <f t="shared" si="11"/>
        <v>29.803436194608931</v>
      </c>
      <c r="Q29" s="13">
        <f t="shared" si="12"/>
        <v>30.094585055088803</v>
      </c>
      <c r="R29" s="14">
        <f t="shared" si="13"/>
        <v>30.384057641528614</v>
      </c>
      <c r="S29" s="15">
        <f t="shared" si="14"/>
        <v>30.671824357254653</v>
      </c>
      <c r="X29" s="9">
        <f t="shared" si="15"/>
        <v>10.978582655367353</v>
      </c>
      <c r="Y29" s="10">
        <f t="shared" si="16"/>
        <v>10.389199570822992</v>
      </c>
      <c r="Z29" s="11">
        <f t="shared" si="17"/>
        <v>10.241705508084266</v>
      </c>
      <c r="AA29" s="12">
        <f t="shared" si="18"/>
        <v>10.020356863938096</v>
      </c>
      <c r="AB29" s="13">
        <f t="shared" si="19"/>
        <v>9.8727207102659449</v>
      </c>
      <c r="AC29" s="14">
        <f t="shared" si="20"/>
        <v>9.6511631288921489</v>
      </c>
      <c r="AD29" s="15">
        <f t="shared" si="21"/>
        <v>9.5033904731260037</v>
      </c>
      <c r="AF29" s="9">
        <f t="shared" si="22"/>
        <v>16.807786682174896</v>
      </c>
      <c r="AG29" s="10">
        <f t="shared" si="23"/>
        <v>17.167398191058574</v>
      </c>
      <c r="AH29" s="11">
        <f t="shared" si="24"/>
        <v>17.526357748469437</v>
      </c>
      <c r="AI29" s="12">
        <f t="shared" si="25"/>
        <v>17.884648229213507</v>
      </c>
      <c r="AJ29" s="13">
        <f t="shared" si="26"/>
        <v>18.242252299158771</v>
      </c>
      <c r="AK29" s="14">
        <f t="shared" si="27"/>
        <v>18.599152409810106</v>
      </c>
      <c r="AL29" s="15">
        <f t="shared" si="28"/>
        <v>18.955330792830527</v>
      </c>
      <c r="AQ29" s="9">
        <f t="shared" si="29"/>
        <v>2.1883556859699449</v>
      </c>
      <c r="AR29" s="10">
        <f t="shared" si="30"/>
        <v>1.5561048617049105</v>
      </c>
      <c r="AS29" s="11">
        <f t="shared" si="31"/>
        <v>1.3980225502548449</v>
      </c>
      <c r="AT29" s="12">
        <f t="shared" si="32"/>
        <v>1.1608873223687768</v>
      </c>
      <c r="AU29" s="13">
        <f t="shared" si="33"/>
        <v>1.0027903855193967</v>
      </c>
      <c r="AV29" s="14">
        <f t="shared" si="34"/>
        <v>0.76563661142161954</v>
      </c>
      <c r="AW29" s="15">
        <f t="shared" si="35"/>
        <v>0.60752957067288249</v>
      </c>
      <c r="AY29" s="9">
        <f t="shared" si="36"/>
        <v>8.4942813036422198</v>
      </c>
      <c r="AZ29" s="10">
        <f t="shared" si="37"/>
        <v>8.8867850874145073</v>
      </c>
      <c r="BA29" s="11">
        <f t="shared" si="38"/>
        <v>9.2790267657755479</v>
      </c>
      <c r="BB29" s="12">
        <f t="shared" si="39"/>
        <v>9.6709939694367204</v>
      </c>
      <c r="BC29" s="13">
        <f t="shared" si="40"/>
        <v>10.062674230839873</v>
      </c>
      <c r="BD29" s="14">
        <f t="shared" si="41"/>
        <v>10.454054979555831</v>
      </c>
      <c r="BE29" s="15">
        <f t="shared" si="42"/>
        <v>10.845123537629213</v>
      </c>
      <c r="BJ29" s="9">
        <f t="shared" si="43"/>
        <v>-6.6170537732513219</v>
      </c>
      <c r="BK29" s="10">
        <f t="shared" si="44"/>
        <v>-7.2874430753390902</v>
      </c>
      <c r="BL29" s="11">
        <f t="shared" si="45"/>
        <v>-7.4549754343571113</v>
      </c>
      <c r="BM29" s="12">
        <f t="shared" si="46"/>
        <v>-7.7062226542332901</v>
      </c>
      <c r="BN29" s="13">
        <f t="shared" si="47"/>
        <v>-7.8736856523890442</v>
      </c>
      <c r="BO29" s="14">
        <f t="shared" si="48"/>
        <v>-8.1248258165758251</v>
      </c>
      <c r="BP29" s="15">
        <f t="shared" si="49"/>
        <v>-8.292215427762061</v>
      </c>
      <c r="BR29" s="9">
        <f t="shared" si="50"/>
        <v>0.10149273184837261</v>
      </c>
      <c r="BS29" s="10">
        <f t="shared" si="51"/>
        <v>0.52178369036065064</v>
      </c>
      <c r="BT29" s="11">
        <f t="shared" si="52"/>
        <v>0.94206298813651668</v>
      </c>
      <c r="BU29" s="12">
        <f t="shared" si="53"/>
        <v>1.3623212275812939</v>
      </c>
      <c r="BV29" s="13">
        <f t="shared" si="54"/>
        <v>1.7825490025028161</v>
      </c>
      <c r="BW29" s="14">
        <f t="shared" si="55"/>
        <v>2.2027368942677805</v>
      </c>
      <c r="BX29" s="15">
        <f t="shared" si="56"/>
        <v>2.6228754679493136</v>
      </c>
    </row>
    <row r="30" spans="1:76">
      <c r="A30">
        <f t="shared" si="57"/>
        <v>-40</v>
      </c>
      <c r="B30">
        <f t="shared" si="7"/>
        <v>-40</v>
      </c>
      <c r="E30" s="9">
        <f t="shared" si="0"/>
        <v>26.478624569944216</v>
      </c>
      <c r="F30" s="10">
        <f t="shared" si="1"/>
        <v>25.918232479145107</v>
      </c>
      <c r="G30" s="11">
        <f t="shared" si="2"/>
        <v>25.777700809663543</v>
      </c>
      <c r="H30" s="12">
        <f t="shared" si="3"/>
        <v>25.566584095763368</v>
      </c>
      <c r="I30" s="13">
        <f t="shared" si="4"/>
        <v>25.425628950821633</v>
      </c>
      <c r="J30" s="14">
        <f t="shared" si="5"/>
        <v>25.213883865343277</v>
      </c>
      <c r="K30" s="15">
        <f t="shared" si="6"/>
        <v>25.072514333723547</v>
      </c>
      <c r="M30" s="9">
        <f t="shared" si="8"/>
        <v>31.908779297803008</v>
      </c>
      <c r="N30" s="10">
        <f t="shared" si="9"/>
        <v>32.236250338431105</v>
      </c>
      <c r="O30" s="11">
        <f t="shared" si="10"/>
        <v>32.562144400745694</v>
      </c>
      <c r="P30" s="12">
        <f t="shared" si="11"/>
        <v>32.886429962882332</v>
      </c>
      <c r="Q30" s="13">
        <f t="shared" si="12"/>
        <v>33.209074992552623</v>
      </c>
      <c r="R30" s="14">
        <f t="shared" si="13"/>
        <v>33.530046940632111</v>
      </c>
      <c r="S30" s="15">
        <f t="shared" si="14"/>
        <v>33.849312734958929</v>
      </c>
      <c r="X30" s="9">
        <f t="shared" si="15"/>
        <v>13.149971936146938</v>
      </c>
      <c r="Y30" s="10">
        <f t="shared" si="16"/>
        <v>12.521979683871526</v>
      </c>
      <c r="Z30" s="11">
        <f t="shared" si="17"/>
        <v>12.364831106320461</v>
      </c>
      <c r="AA30" s="12">
        <f t="shared" si="18"/>
        <v>12.128998774179435</v>
      </c>
      <c r="AB30" s="13">
        <f t="shared" si="19"/>
        <v>11.971705460385714</v>
      </c>
      <c r="AC30" s="14">
        <f t="shared" si="20"/>
        <v>11.73565992884607</v>
      </c>
      <c r="AD30" s="15">
        <f t="shared" si="21"/>
        <v>11.578227073173515</v>
      </c>
      <c r="AF30" s="9">
        <f t="shared" si="22"/>
        <v>19.365186298773903</v>
      </c>
      <c r="AG30" s="10">
        <f t="shared" si="23"/>
        <v>19.748954583940908</v>
      </c>
      <c r="AH30" s="11">
        <f t="shared" si="24"/>
        <v>20.132077654156973</v>
      </c>
      <c r="AI30" s="12">
        <f t="shared" si="25"/>
        <v>20.514538706069345</v>
      </c>
      <c r="AJ30" s="13">
        <f t="shared" si="26"/>
        <v>20.896320681539333</v>
      </c>
      <c r="AK30" s="14">
        <f t="shared" si="27"/>
        <v>21.277406260570995</v>
      </c>
      <c r="AL30" s="15">
        <f t="shared" si="28"/>
        <v>21.657777854119836</v>
      </c>
      <c r="AQ30" s="9">
        <f t="shared" si="29"/>
        <v>4.1482947846727454</v>
      </c>
      <c r="AR30" s="10">
        <f t="shared" si="30"/>
        <v>3.4843740057637307</v>
      </c>
      <c r="AS30" s="11">
        <f t="shared" si="31"/>
        <v>3.3183591647230259</v>
      </c>
      <c r="AT30" s="12">
        <f t="shared" si="32"/>
        <v>3.0693135032650272</v>
      </c>
      <c r="AU30" s="13">
        <f t="shared" si="33"/>
        <v>2.9032683880161416</v>
      </c>
      <c r="AV30" s="14">
        <f t="shared" si="34"/>
        <v>2.6541802882367338</v>
      </c>
      <c r="AW30" s="15">
        <f t="shared" si="35"/>
        <v>2.4881088601414065</v>
      </c>
      <c r="AY30" s="9">
        <f t="shared" si="36"/>
        <v>10.766722206566721</v>
      </c>
      <c r="AZ30" s="10">
        <f t="shared" si="37"/>
        <v>11.178567921802973</v>
      </c>
      <c r="BA30" s="11">
        <f t="shared" si="38"/>
        <v>11.59013599233805</v>
      </c>
      <c r="BB30" s="12">
        <f t="shared" si="39"/>
        <v>12.001415082029132</v>
      </c>
      <c r="BC30" s="13">
        <f t="shared" si="40"/>
        <v>12.412393736000801</v>
      </c>
      <c r="BD30" s="14">
        <f t="shared" si="41"/>
        <v>12.823060375640974</v>
      </c>
      <c r="BE30" s="15">
        <f t="shared" si="42"/>
        <v>13.233403293513541</v>
      </c>
      <c r="BJ30" s="9">
        <f t="shared" si="43"/>
        <v>-4.8773087965337885</v>
      </c>
      <c r="BK30" s="10">
        <f t="shared" si="44"/>
        <v>-5.572668377109653</v>
      </c>
      <c r="BL30" s="11">
        <f t="shared" si="45"/>
        <v>-5.7464679200829467</v>
      </c>
      <c r="BM30" s="12">
        <f t="shared" si="46"/>
        <v>-6.007134804896344</v>
      </c>
      <c r="BN30" s="13">
        <f t="shared" si="47"/>
        <v>-6.1808903276468401</v>
      </c>
      <c r="BO30" s="14">
        <f t="shared" si="48"/>
        <v>-6.4414886687280948</v>
      </c>
      <c r="BP30" s="15">
        <f t="shared" si="49"/>
        <v>-6.6151968152775487</v>
      </c>
      <c r="BR30" s="9">
        <f t="shared" si="50"/>
        <v>2.0835859947644484</v>
      </c>
      <c r="BS30" s="10">
        <f t="shared" si="51"/>
        <v>2.5186566031449744</v>
      </c>
      <c r="BT30" s="11">
        <f t="shared" si="52"/>
        <v>2.9536805840334122</v>
      </c>
      <c r="BU30" s="12">
        <f t="shared" si="53"/>
        <v>3.3886498309569522</v>
      </c>
      <c r="BV30" s="13">
        <f t="shared" si="54"/>
        <v>3.8235562131217851</v>
      </c>
      <c r="BW30" s="14">
        <f t="shared" si="55"/>
        <v>4.2583915717753085</v>
      </c>
      <c r="BX30" s="15">
        <f t="shared" si="56"/>
        <v>4.6931477165456128</v>
      </c>
    </row>
    <row r="31" spans="1:76">
      <c r="A31">
        <f t="shared" si="57"/>
        <v>-35</v>
      </c>
      <c r="B31">
        <f t="shared" si="7"/>
        <v>-35</v>
      </c>
      <c r="E31" s="9">
        <f t="shared" si="0"/>
        <v>28.768027903104478</v>
      </c>
      <c r="F31" s="10">
        <f t="shared" si="1"/>
        <v>28.160061026814461</v>
      </c>
      <c r="G31" s="11">
        <f t="shared" si="2"/>
        <v>28.007673217036306</v>
      </c>
      <c r="H31" s="12">
        <f t="shared" si="3"/>
        <v>27.77880032951888</v>
      </c>
      <c r="I31" s="13">
        <f t="shared" si="4"/>
        <v>27.626026375065866</v>
      </c>
      <c r="J31" s="14">
        <f t="shared" si="5"/>
        <v>27.396580940724132</v>
      </c>
      <c r="K31" s="15">
        <f t="shared" si="6"/>
        <v>27.243429695587633</v>
      </c>
      <c r="M31" s="9">
        <f t="shared" si="8"/>
        <v>34.687238077652957</v>
      </c>
      <c r="N31" s="10">
        <f t="shared" si="9"/>
        <v>35.046058035991344</v>
      </c>
      <c r="O31" s="11">
        <f t="shared" si="10"/>
        <v>35.403387141933329</v>
      </c>
      <c r="P31" s="12">
        <f t="shared" si="11"/>
        <v>35.759192167382459</v>
      </c>
      <c r="Q31" s="13">
        <f t="shared" si="12"/>
        <v>36.113439197685977</v>
      </c>
      <c r="R31" s="14">
        <f t="shared" si="13"/>
        <v>36.466093617714975</v>
      </c>
      <c r="S31" s="15">
        <f t="shared" si="14"/>
        <v>36.817120097934357</v>
      </c>
      <c r="X31" s="9">
        <f t="shared" si="15"/>
        <v>15.123088334082542</v>
      </c>
      <c r="Y31" s="10">
        <f t="shared" si="16"/>
        <v>14.458926277182503</v>
      </c>
      <c r="Z31" s="11">
        <f t="shared" si="17"/>
        <v>14.292744440352248</v>
      </c>
      <c r="AA31" s="12">
        <f t="shared" si="18"/>
        <v>14.043368751702555</v>
      </c>
      <c r="AB31" s="13">
        <f t="shared" si="19"/>
        <v>13.877050757774223</v>
      </c>
      <c r="AC31" s="14">
        <f t="shared" si="20"/>
        <v>13.627474317141399</v>
      </c>
      <c r="AD31" s="15">
        <f t="shared" si="21"/>
        <v>13.461024797493165</v>
      </c>
      <c r="AF31" s="9">
        <f t="shared" si="22"/>
        <v>21.704348069371253</v>
      </c>
      <c r="AG31" s="10">
        <f t="shared" si="23"/>
        <v>22.111321281193021</v>
      </c>
      <c r="AH31" s="11">
        <f t="shared" si="24"/>
        <v>22.51769446086174</v>
      </c>
      <c r="AI31" s="12">
        <f t="shared" si="25"/>
        <v>22.923451793999327</v>
      </c>
      <c r="AJ31" s="13">
        <f t="shared" si="26"/>
        <v>23.328577179139636</v>
      </c>
      <c r="AK31" s="14">
        <f t="shared" si="27"/>
        <v>23.733054219048583</v>
      </c>
      <c r="AL31" s="15">
        <f t="shared" si="28"/>
        <v>24.13686621183772</v>
      </c>
      <c r="AQ31" s="9">
        <f t="shared" si="29"/>
        <v>5.9184693768012036</v>
      </c>
      <c r="AR31" s="10">
        <f t="shared" si="30"/>
        <v>5.2252306407644786</v>
      </c>
      <c r="AS31" s="11">
        <f t="shared" si="31"/>
        <v>5.0518798943562455</v>
      </c>
      <c r="AT31" s="12">
        <f t="shared" si="32"/>
        <v>4.7918251670625658</v>
      </c>
      <c r="AU31" s="13">
        <f t="shared" si="33"/>
        <v>4.6184370598945286</v>
      </c>
      <c r="AV31" s="14">
        <f t="shared" si="34"/>
        <v>4.3583288044174457</v>
      </c>
      <c r="AW31" s="15">
        <f t="shared" si="35"/>
        <v>4.1849066834071724</v>
      </c>
      <c r="AY31" s="9">
        <f t="shared" si="36"/>
        <v>12.829061721271572</v>
      </c>
      <c r="AZ31" s="10">
        <f t="shared" si="37"/>
        <v>13.259181494090354</v>
      </c>
      <c r="BA31" s="11">
        <f t="shared" si="38"/>
        <v>13.689033478489964</v>
      </c>
      <c r="BB31" s="12">
        <f t="shared" si="39"/>
        <v>14.118607662024107</v>
      </c>
      <c r="BC31" s="13">
        <f t="shared" si="40"/>
        <v>14.547893902614584</v>
      </c>
      <c r="BD31" s="14">
        <f t="shared" si="41"/>
        <v>14.97688192333268</v>
      </c>
      <c r="BE31" s="15">
        <f t="shared" si="42"/>
        <v>15.405561307067911</v>
      </c>
      <c r="BJ31" s="9">
        <f t="shared" si="43"/>
        <v>-3.3135561535074038</v>
      </c>
      <c r="BK31" s="10">
        <f t="shared" si="44"/>
        <v>-4.031839782804739</v>
      </c>
      <c r="BL31" s="11">
        <f t="shared" si="45"/>
        <v>-4.2113878970777607</v>
      </c>
      <c r="BM31" s="12">
        <f t="shared" si="46"/>
        <v>-4.4806912238676615</v>
      </c>
      <c r="BN31" s="13">
        <f t="shared" si="47"/>
        <v>-4.6602135817779367</v>
      </c>
      <c r="BO31" s="14">
        <f t="shared" si="48"/>
        <v>-4.929476245828579</v>
      </c>
      <c r="BP31" s="15">
        <f t="shared" si="49"/>
        <v>-5.1089701400765604</v>
      </c>
      <c r="BR31" s="9">
        <f t="shared" si="50"/>
        <v>3.8716852314928545</v>
      </c>
      <c r="BS31" s="10">
        <f t="shared" si="51"/>
        <v>4.3205587349453323</v>
      </c>
      <c r="BT31" s="11">
        <f t="shared" si="52"/>
        <v>4.7693682297359183</v>
      </c>
      <c r="BU31" s="12">
        <f t="shared" si="53"/>
        <v>5.2181069493439489</v>
      </c>
      <c r="BV31" s="13">
        <f t="shared" si="54"/>
        <v>5.6667680932155937</v>
      </c>
      <c r="BW31" s="14">
        <f t="shared" si="55"/>
        <v>6.1153448234340484</v>
      </c>
      <c r="BX31" s="15">
        <f t="shared" si="56"/>
        <v>6.5638302613553634</v>
      </c>
    </row>
    <row r="32" spans="1:76">
      <c r="A32">
        <f t="shared" si="57"/>
        <v>-30</v>
      </c>
      <c r="B32">
        <f t="shared" si="7"/>
        <v>-30</v>
      </c>
      <c r="E32" s="9">
        <f t="shared" si="0"/>
        <v>30.831141486113125</v>
      </c>
      <c r="F32" s="10">
        <f t="shared" si="1"/>
        <v>30.17838244724495</v>
      </c>
      <c r="G32" s="11">
        <f t="shared" si="2"/>
        <v>30.014852372348074</v>
      </c>
      <c r="H32" s="12">
        <f t="shared" si="3"/>
        <v>29.769307441650266</v>
      </c>
      <c r="I32" s="13">
        <f t="shared" si="4"/>
        <v>29.605446187620384</v>
      </c>
      <c r="J32" s="14">
        <f t="shared" si="5"/>
        <v>29.359410597120849</v>
      </c>
      <c r="K32" s="15">
        <f t="shared" si="6"/>
        <v>29.195226266496913</v>
      </c>
      <c r="M32" s="9">
        <f t="shared" si="8"/>
        <v>37.219259402438084</v>
      </c>
      <c r="N32" s="10">
        <f t="shared" si="9"/>
        <v>37.608720323472099</v>
      </c>
      <c r="O32" s="11">
        <f t="shared" si="10"/>
        <v>37.996852358296181</v>
      </c>
      <c r="P32" s="12">
        <f t="shared" si="11"/>
        <v>38.383622549725615</v>
      </c>
      <c r="Q32" s="13">
        <f t="shared" si="12"/>
        <v>38.76899710354283</v>
      </c>
      <c r="R32" s="14">
        <f t="shared" si="13"/>
        <v>39.152941365099664</v>
      </c>
      <c r="S32" s="15">
        <f t="shared" si="14"/>
        <v>39.535419795451041</v>
      </c>
      <c r="X32" s="9">
        <f t="shared" si="15"/>
        <v>16.879895296083973</v>
      </c>
      <c r="Y32" s="10">
        <f t="shared" si="16"/>
        <v>16.182566363999392</v>
      </c>
      <c r="Z32" s="11">
        <f t="shared" si="17"/>
        <v>16.008111300982552</v>
      </c>
      <c r="AA32" s="12">
        <f t="shared" si="18"/>
        <v>15.746339174788424</v>
      </c>
      <c r="AB32" s="13">
        <f t="shared" si="19"/>
        <v>15.571765655758913</v>
      </c>
      <c r="AC32" s="14">
        <f t="shared" si="20"/>
        <v>15.309818789555733</v>
      </c>
      <c r="AD32" s="15">
        <f t="shared" si="21"/>
        <v>15.135130726364505</v>
      </c>
      <c r="AF32" s="9">
        <f t="shared" si="22"/>
        <v>23.800850702609708</v>
      </c>
      <c r="AG32" s="10">
        <f t="shared" si="23"/>
        <v>24.229633706968119</v>
      </c>
      <c r="AH32" s="11">
        <f t="shared" si="24"/>
        <v>24.657895399367426</v>
      </c>
      <c r="AI32" s="12">
        <f t="shared" si="25"/>
        <v>25.085621706751692</v>
      </c>
      <c r="AJ32" s="13">
        <f t="shared" si="26"/>
        <v>25.512798259274096</v>
      </c>
      <c r="AK32" s="14">
        <f t="shared" si="27"/>
        <v>25.939410380472474</v>
      </c>
      <c r="AL32" s="15">
        <f t="shared" si="28"/>
        <v>26.365443077148036</v>
      </c>
      <c r="AQ32" s="9">
        <f t="shared" si="29"/>
        <v>7.4855151206852799</v>
      </c>
      <c r="AR32" s="10">
        <f t="shared" si="30"/>
        <v>6.7657075159922444</v>
      </c>
      <c r="AS32" s="11">
        <f t="shared" si="31"/>
        <v>6.5857151550358264</v>
      </c>
      <c r="AT32" s="12">
        <f t="shared" si="32"/>
        <v>6.3156980350036349</v>
      </c>
      <c r="AU32" s="13">
        <f t="shared" si="33"/>
        <v>6.1356681999752611</v>
      </c>
      <c r="AV32" s="14">
        <f t="shared" si="34"/>
        <v>5.8655968925778552</v>
      </c>
      <c r="AW32" s="15">
        <f t="shared" si="35"/>
        <v>5.6855322776918538</v>
      </c>
      <c r="AY32" s="9">
        <f t="shared" si="36"/>
        <v>14.663371341143828</v>
      </c>
      <c r="AZ32" s="10">
        <f t="shared" si="37"/>
        <v>15.110374837685445</v>
      </c>
      <c r="BA32" s="11">
        <f t="shared" si="38"/>
        <v>15.557141312650652</v>
      </c>
      <c r="BB32" s="12">
        <f t="shared" si="39"/>
        <v>16.003662359282181</v>
      </c>
      <c r="BC32" s="13">
        <f t="shared" si="40"/>
        <v>16.449929442274698</v>
      </c>
      <c r="BD32" s="14">
        <f t="shared" si="41"/>
        <v>16.895933892655457</v>
      </c>
      <c r="BE32" s="15">
        <f t="shared" si="42"/>
        <v>17.341666902530672</v>
      </c>
      <c r="BJ32" s="9">
        <f t="shared" si="43"/>
        <v>-1.9354590323041574</v>
      </c>
      <c r="BK32" s="10">
        <f t="shared" si="44"/>
        <v>-2.6743465240080821</v>
      </c>
      <c r="BL32" s="11">
        <f t="shared" si="45"/>
        <v>-2.8590572423914975</v>
      </c>
      <c r="BM32" s="12">
        <f t="shared" si="46"/>
        <v>-3.1361136010809085</v>
      </c>
      <c r="BN32" s="13">
        <f t="shared" si="47"/>
        <v>-3.3208108741504194</v>
      </c>
      <c r="BO32" s="14">
        <f t="shared" si="48"/>
        <v>-3.5978454987274051</v>
      </c>
      <c r="BP32" s="15">
        <f t="shared" si="49"/>
        <v>-3.7825272365674527</v>
      </c>
      <c r="BR32" s="9">
        <f t="shared" si="50"/>
        <v>5.4529692177376452</v>
      </c>
      <c r="BS32" s="10">
        <f t="shared" si="51"/>
        <v>5.9144451003930669</v>
      </c>
      <c r="BT32" s="11">
        <f t="shared" si="52"/>
        <v>6.3758539548213369</v>
      </c>
      <c r="BU32" s="12">
        <f t="shared" si="53"/>
        <v>6.837190384556326</v>
      </c>
      <c r="BV32" s="13">
        <f t="shared" si="54"/>
        <v>7.2984489557038073</v>
      </c>
      <c r="BW32" s="14">
        <f t="shared" si="55"/>
        <v>7.7596241940389374</v>
      </c>
      <c r="BX32" s="15">
        <f t="shared" si="56"/>
        <v>8.2207105820623436</v>
      </c>
    </row>
    <row r="33" spans="1:76">
      <c r="A33">
        <f t="shared" si="57"/>
        <v>-25</v>
      </c>
      <c r="B33">
        <f t="shared" si="7"/>
        <v>-25</v>
      </c>
      <c r="E33" s="9">
        <f t="shared" si="0"/>
        <v>32.640167566648799</v>
      </c>
      <c r="F33" s="10">
        <f t="shared" si="1"/>
        <v>31.94645055179522</v>
      </c>
      <c r="G33" s="11">
        <f t="shared" si="2"/>
        <v>31.772750527753978</v>
      </c>
      <c r="H33" s="12">
        <f t="shared" si="3"/>
        <v>31.512002004630617</v>
      </c>
      <c r="I33" s="13">
        <f t="shared" si="4"/>
        <v>31.338038947187218</v>
      </c>
      <c r="J33" s="14">
        <f t="shared" si="5"/>
        <v>31.076901032702359</v>
      </c>
      <c r="K33" s="15">
        <f t="shared" si="6"/>
        <v>30.90268177900321</v>
      </c>
      <c r="M33" s="9">
        <f t="shared" si="8"/>
        <v>39.465056013562254</v>
      </c>
      <c r="N33" s="10">
        <f t="shared" si="9"/>
        <v>39.883624112378826</v>
      </c>
      <c r="O33" s="11">
        <f t="shared" si="10"/>
        <v>40.301094551981116</v>
      </c>
      <c r="P33" s="12">
        <f t="shared" si="11"/>
        <v>40.717437226961273</v>
      </c>
      <c r="Q33" s="13">
        <f t="shared" si="12"/>
        <v>41.132621121357708</v>
      </c>
      <c r="R33" s="14">
        <f t="shared" si="13"/>
        <v>41.546614276289013</v>
      </c>
      <c r="S33" s="15">
        <f t="shared" si="14"/>
        <v>41.959383756468036</v>
      </c>
      <c r="X33" s="9">
        <f t="shared" si="15"/>
        <v>18.402779994819909</v>
      </c>
      <c r="Y33" s="10">
        <f t="shared" si="16"/>
        <v>17.675899368341721</v>
      </c>
      <c r="Z33" s="11">
        <f t="shared" si="17"/>
        <v>17.494081318980172</v>
      </c>
      <c r="AA33" s="12">
        <f t="shared" si="18"/>
        <v>17.221282867007012</v>
      </c>
      <c r="AB33" s="13">
        <f t="shared" si="19"/>
        <v>17.039370370531394</v>
      </c>
      <c r="AC33" s="14">
        <f t="shared" si="20"/>
        <v>16.76643256281276</v>
      </c>
      <c r="AD33" s="15">
        <f t="shared" si="21"/>
        <v>16.584428693673441</v>
      </c>
      <c r="AF33" s="9">
        <f t="shared" si="22"/>
        <v>25.629880416154698</v>
      </c>
      <c r="AG33" s="10">
        <f t="shared" si="23"/>
        <v>26.078559023478444</v>
      </c>
      <c r="AH33" s="11">
        <f t="shared" si="24"/>
        <v>26.526820125797173</v>
      </c>
      <c r="AI33" s="12">
        <f t="shared" si="25"/>
        <v>26.974652112276321</v>
      </c>
      <c r="AJ33" s="13">
        <f t="shared" si="26"/>
        <v>27.422043094901149</v>
      </c>
      <c r="AK33" s="14">
        <f t="shared" si="27"/>
        <v>27.868980898469879</v>
      </c>
      <c r="AL33" s="15">
        <f t="shared" si="28"/>
        <v>28.315453050225884</v>
      </c>
      <c r="AQ33" s="9">
        <f t="shared" si="29"/>
        <v>8.8366850534397852</v>
      </c>
      <c r="AR33" s="10">
        <f t="shared" si="30"/>
        <v>8.0934698873711159</v>
      </c>
      <c r="AS33" s="11">
        <f t="shared" si="31"/>
        <v>7.9076313530299229</v>
      </c>
      <c r="AT33" s="12">
        <f t="shared" si="32"/>
        <v>7.6288488284526608</v>
      </c>
      <c r="AU33" s="13">
        <f t="shared" si="33"/>
        <v>7.4429778058111076</v>
      </c>
      <c r="AV33" s="14">
        <f t="shared" si="34"/>
        <v>7.1641480747144026</v>
      </c>
      <c r="AW33" s="15">
        <f t="shared" si="35"/>
        <v>6.978246594461921</v>
      </c>
      <c r="AY33" s="9">
        <f t="shared" si="36"/>
        <v>16.25205350299402</v>
      </c>
      <c r="AZ33" s="10">
        <f t="shared" si="37"/>
        <v>16.714199643186564</v>
      </c>
      <c r="BA33" s="11">
        <f t="shared" si="38"/>
        <v>17.176154435551499</v>
      </c>
      <c r="BB33" s="12">
        <f t="shared" si="39"/>
        <v>17.637911295275895</v>
      </c>
      <c r="BC33" s="13">
        <f t="shared" si="40"/>
        <v>18.099463522739889</v>
      </c>
      <c r="BD33" s="14">
        <f t="shared" si="41"/>
        <v>18.560804298904738</v>
      </c>
      <c r="BE33" s="15">
        <f t="shared" si="42"/>
        <v>19.02192668056065</v>
      </c>
      <c r="BJ33" s="9">
        <f t="shared" si="43"/>
        <v>-0.75206377982060724</v>
      </c>
      <c r="BK33" s="10">
        <f t="shared" si="44"/>
        <v>-1.508961549462388</v>
      </c>
      <c r="BL33" s="11">
        <f t="shared" si="45"/>
        <v>-1.6981817751419688</v>
      </c>
      <c r="BM33" s="12">
        <f t="shared" si="46"/>
        <v>-1.982007966713101</v>
      </c>
      <c r="BN33" s="13">
        <f t="shared" si="47"/>
        <v>-2.1712223092657288</v>
      </c>
      <c r="BO33" s="14">
        <f t="shared" si="48"/>
        <v>-2.4550385380549851</v>
      </c>
      <c r="BP33" s="15">
        <f t="shared" si="49"/>
        <v>-2.6442454791910479</v>
      </c>
      <c r="BR33" s="9">
        <f t="shared" si="50"/>
        <v>6.8151966625128688</v>
      </c>
      <c r="BS33" s="10">
        <f t="shared" si="51"/>
        <v>7.2878448503979048</v>
      </c>
      <c r="BT33" s="11">
        <f t="shared" si="52"/>
        <v>7.7604335933652546</v>
      </c>
      <c r="BU33" s="12">
        <f t="shared" si="53"/>
        <v>8.2329588523613051</v>
      </c>
      <c r="BV33" s="13">
        <f t="shared" si="54"/>
        <v>8.7054165533622818</v>
      </c>
      <c r="BW33" s="14">
        <f t="shared" si="55"/>
        <v>9.1778025850155647</v>
      </c>
      <c r="BX33" s="15">
        <f t="shared" si="56"/>
        <v>9.6501127962388953</v>
      </c>
    </row>
    <row r="34" spans="1:76">
      <c r="A34">
        <f t="shared" si="57"/>
        <v>-20</v>
      </c>
      <c r="B34">
        <f t="shared" si="7"/>
        <v>-20</v>
      </c>
      <c r="E34" s="9">
        <f t="shared" ref="E34:E65" si="58">DEGREES(ASIN(COS(RADIANS(42))*SIN(RADIANS(-$C$2)) + SIN(RADIANS(42))*COS(RADIANS(-$C$2))*COS(RADIANS(A34))))</f>
        <v>34.167564148222525</v>
      </c>
      <c r="F34" s="10">
        <f t="shared" ref="F34:F65" si="59">DEGREES(ASIN(COS(RADIANS(41.2))*SIN(RADIANS(-$C$2)) + SIN(RADIANS(41.2))*COS(RADIANS(-$C$2))*COS(RADIANS(A34))))</f>
        <v>33.437909554160171</v>
      </c>
      <c r="G34" s="11">
        <f t="shared" ref="G34:G65" si="60">DEGREES(ASIN(COS(RADIANS(41))*SIN(RADIANS(-$C$2)) + SIN(RADIANS(41))*COS(RADIANS(-$C$2))*COS(RADIANS(A34))))</f>
        <v>33.255301609120608</v>
      </c>
      <c r="H34" s="12">
        <f t="shared" ref="H34:H65" si="61">DEGREES(ASIN(COS(RADIANS(40.7))*SIN(RADIANS(-$C$2)) + SIN(RADIANS(40.7))*COS(RADIANS(-$C$2))*COS(RADIANS(A34))))</f>
        <v>32.981247451943915</v>
      </c>
      <c r="I34" s="13">
        <f t="shared" ref="I34:I65" si="62">DEGREES(ASIN(COS(RADIANS(40.5))*SIN(RADIANS(-$C$2)) + SIN(RADIANS(40.5))*COS(RADIANS(-$C$2))*COS(RADIANS(A34))))</f>
        <v>32.79845107730857</v>
      </c>
      <c r="J34" s="14">
        <f t="shared" ref="J34:J65" si="63">DEGREES(ASIN(COS(RADIANS(40.2))*SIN(RADIANS(-$C$2)) + SIN(RADIANS(40.2))*COS(RADIANS(-$C$2))*COS(RADIANS(A34))))</f>
        <v>32.524118177533502</v>
      </c>
      <c r="K34" s="15">
        <f t="shared" ref="K34:K65" si="64">DEGREES(ASIN(COS(RADIANS(40))*SIN(RADIANS(-$C$2)) + SIN(RADIANS(40))*COS(RADIANS(-$C$2))*COS(RADIANS(A34))))</f>
        <v>32.341138541009492</v>
      </c>
      <c r="M34" s="9">
        <f t="shared" si="8"/>
        <v>41.382631359758534</v>
      </c>
      <c r="N34" s="10">
        <f t="shared" si="9"/>
        <v>41.827705680134798</v>
      </c>
      <c r="O34" s="11">
        <f t="shared" si="10"/>
        <v>42.271963485300304</v>
      </c>
      <c r="P34" s="12">
        <f t="shared" si="11"/>
        <v>42.715380262889092</v>
      </c>
      <c r="Q34" s="13">
        <f t="shared" si="12"/>
        <v>43.157930643376758</v>
      </c>
      <c r="R34" s="14">
        <f t="shared" si="13"/>
        <v>43.599588363395597</v>
      </c>
      <c r="S34" s="15">
        <f t="shared" si="14"/>
        <v>44.040326227335754</v>
      </c>
      <c r="X34" s="9">
        <f t="shared" si="15"/>
        <v>19.675137668759245</v>
      </c>
      <c r="Y34" s="10">
        <f t="shared" si="16"/>
        <v>18.922951563858543</v>
      </c>
      <c r="Z34" s="11">
        <f t="shared" si="17"/>
        <v>18.734835066591248</v>
      </c>
      <c r="AA34" s="12">
        <f t="shared" si="18"/>
        <v>18.452609297698022</v>
      </c>
      <c r="AB34" s="13">
        <f t="shared" si="19"/>
        <v>18.264425284737456</v>
      </c>
      <c r="AC34" s="14">
        <f t="shared" si="20"/>
        <v>17.982099889270234</v>
      </c>
      <c r="AD34" s="15">
        <f t="shared" si="21"/>
        <v>17.79385054701072</v>
      </c>
      <c r="AF34" s="9">
        <f t="shared" si="22"/>
        <v>27.167152717379963</v>
      </c>
      <c r="AG34" s="10">
        <f t="shared" si="23"/>
        <v>27.633240252314479</v>
      </c>
      <c r="AH34" s="11">
        <f t="shared" si="24"/>
        <v>28.099027142329998</v>
      </c>
      <c r="AI34" s="12">
        <f t="shared" si="25"/>
        <v>28.564504766406642</v>
      </c>
      <c r="AJ34" s="13">
        <f t="shared" si="26"/>
        <v>29.02966427600002</v>
      </c>
      <c r="AK34" s="14">
        <f t="shared" si="27"/>
        <v>29.494496586169291</v>
      </c>
      <c r="AL34" s="15">
        <f t="shared" si="28"/>
        <v>29.958992366338901</v>
      </c>
      <c r="AQ34" s="9">
        <f t="shared" si="29"/>
        <v>9.9602276490062085</v>
      </c>
      <c r="AR34" s="10">
        <f t="shared" si="30"/>
        <v>9.1971741134845661</v>
      </c>
      <c r="AS34" s="11">
        <f t="shared" si="31"/>
        <v>9.0063847198297804</v>
      </c>
      <c r="AT34" s="12">
        <f t="shared" si="32"/>
        <v>8.720182039676585</v>
      </c>
      <c r="AU34" s="13">
        <f t="shared" si="33"/>
        <v>8.5293681867131514</v>
      </c>
      <c r="AV34" s="14">
        <f t="shared" si="34"/>
        <v>8.2431298656774885</v>
      </c>
      <c r="AW34" s="15">
        <f t="shared" si="35"/>
        <v>8.0522929477057765</v>
      </c>
      <c r="AY34" s="9">
        <f t="shared" si="36"/>
        <v>17.578451803439915</v>
      </c>
      <c r="AZ34" s="10">
        <f t="shared" si="37"/>
        <v>18.053637220973616</v>
      </c>
      <c r="BA34" s="11">
        <f t="shared" si="38"/>
        <v>18.528684595522325</v>
      </c>
      <c r="BB34" s="12">
        <f t="shared" si="39"/>
        <v>19.003589251890713</v>
      </c>
      <c r="BC34" s="13">
        <f t="shared" si="40"/>
        <v>19.47834642460225</v>
      </c>
      <c r="BD34" s="14">
        <f t="shared" si="41"/>
        <v>19.952951254207594</v>
      </c>
      <c r="BE34" s="15">
        <f t="shared" si="42"/>
        <v>20.42739878346725</v>
      </c>
      <c r="BJ34" s="9">
        <f t="shared" si="43"/>
        <v>0.22843384402773886</v>
      </c>
      <c r="BK34" s="10">
        <f t="shared" si="44"/>
        <v>-0.54361923754636965</v>
      </c>
      <c r="BL34" s="11">
        <f t="shared" si="45"/>
        <v>-0.73663177473052222</v>
      </c>
      <c r="BM34" s="12">
        <f t="shared" si="46"/>
        <v>-1.0261493744981516</v>
      </c>
      <c r="BN34" s="13">
        <f t="shared" si="47"/>
        <v>-1.2191600680114911</v>
      </c>
      <c r="BO34" s="14">
        <f t="shared" si="48"/>
        <v>-1.5086741445594403</v>
      </c>
      <c r="BP34" s="15">
        <f t="shared" si="49"/>
        <v>-1.7016819838090687</v>
      </c>
      <c r="BR34" s="9">
        <f t="shared" si="50"/>
        <v>7.9470772599689781</v>
      </c>
      <c r="BS34" s="10">
        <f t="shared" si="51"/>
        <v>8.4292424025552197</v>
      </c>
      <c r="BT34" s="11">
        <f t="shared" si="52"/>
        <v>8.9113621824743259</v>
      </c>
      <c r="BU34" s="12">
        <f t="shared" si="53"/>
        <v>9.3934338406455726</v>
      </c>
      <c r="BV34" s="13">
        <f t="shared" si="54"/>
        <v>9.8754545900000945</v>
      </c>
      <c r="BW34" s="14">
        <f t="shared" si="55"/>
        <v>10.357421613748791</v>
      </c>
      <c r="BX34" s="15">
        <f t="shared" si="56"/>
        <v>10.839332063614119</v>
      </c>
    </row>
    <row r="35" spans="1:76">
      <c r="A35">
        <f t="shared" si="57"/>
        <v>-15</v>
      </c>
      <c r="B35">
        <f t="shared" si="7"/>
        <v>-15</v>
      </c>
      <c r="E35" s="9">
        <f t="shared" si="58"/>
        <v>35.387386606330011</v>
      </c>
      <c r="F35" s="10">
        <f t="shared" si="59"/>
        <v>34.628058372541979</v>
      </c>
      <c r="G35" s="11">
        <f t="shared" si="60"/>
        <v>34.438106577242031</v>
      </c>
      <c r="H35" s="12">
        <f t="shared" si="61"/>
        <v>34.153091329156133</v>
      </c>
      <c r="I35" s="13">
        <f t="shared" si="62"/>
        <v>33.963023581520396</v>
      </c>
      <c r="J35" s="14">
        <f t="shared" si="63"/>
        <v>33.677836916283646</v>
      </c>
      <c r="K35" s="15">
        <f t="shared" si="64"/>
        <v>33.487656540518437</v>
      </c>
      <c r="M35" s="9">
        <f t="shared" si="8"/>
        <v>42.929956398889985</v>
      </c>
      <c r="N35" s="10">
        <f t="shared" si="9"/>
        <v>43.397675253336715</v>
      </c>
      <c r="O35" s="11">
        <f t="shared" si="10"/>
        <v>43.86487453690323</v>
      </c>
      <c r="P35" s="12">
        <f t="shared" si="11"/>
        <v>44.331537420891308</v>
      </c>
      <c r="Q35" s="13">
        <f t="shared" si="12"/>
        <v>44.797646416163289</v>
      </c>
      <c r="R35" s="14">
        <f t="shared" si="13"/>
        <v>45.263183340586785</v>
      </c>
      <c r="S35" s="15">
        <f t="shared" si="14"/>
        <v>45.728129284629823</v>
      </c>
      <c r="X35" s="9">
        <f t="shared" si="15"/>
        <v>20.682035862884167</v>
      </c>
      <c r="Y35" s="10">
        <f t="shared" si="16"/>
        <v>19.909401076039774</v>
      </c>
      <c r="Z35" s="11">
        <f t="shared" si="17"/>
        <v>19.716199529899534</v>
      </c>
      <c r="AA35" s="12">
        <f t="shared" si="18"/>
        <v>19.426365966291606</v>
      </c>
      <c r="AB35" s="13">
        <f t="shared" si="19"/>
        <v>19.233123076466352</v>
      </c>
      <c r="AC35" s="14">
        <f t="shared" si="20"/>
        <v>18.943228505998405</v>
      </c>
      <c r="AD35" s="15">
        <f t="shared" si="21"/>
        <v>18.749945611049718</v>
      </c>
      <c r="AF35" s="9">
        <f t="shared" si="22"/>
        <v>28.390075392117851</v>
      </c>
      <c r="AG35" s="10">
        <f t="shared" si="23"/>
        <v>28.870497114571375</v>
      </c>
      <c r="AH35" s="11">
        <f t="shared" si="24"/>
        <v>29.350733261573954</v>
      </c>
      <c r="AI35" s="12">
        <f t="shared" si="25"/>
        <v>29.830778362072888</v>
      </c>
      <c r="AJ35" s="13">
        <f t="shared" si="26"/>
        <v>30.310626788945633</v>
      </c>
      <c r="AK35" s="14">
        <f t="shared" si="27"/>
        <v>30.790272752515566</v>
      </c>
      <c r="AL35" s="15">
        <f t="shared" si="28"/>
        <v>31.269710293772093</v>
      </c>
      <c r="AQ35" s="9">
        <f t="shared" si="29"/>
        <v>10.845787880575545</v>
      </c>
      <c r="AR35" s="10">
        <f t="shared" si="30"/>
        <v>10.066846032425298</v>
      </c>
      <c r="AS35" s="11">
        <f t="shared" si="31"/>
        <v>9.8720941746136095</v>
      </c>
      <c r="AT35" s="12">
        <f t="shared" si="32"/>
        <v>9.579954638237794</v>
      </c>
      <c r="AU35" s="13">
        <f t="shared" si="33"/>
        <v>9.3851873089707034</v>
      </c>
      <c r="AV35" s="14">
        <f t="shared" si="34"/>
        <v>9.0930251895867311</v>
      </c>
      <c r="AW35" s="15">
        <f t="shared" si="35"/>
        <v>8.8982432189977505</v>
      </c>
      <c r="AY35" s="9">
        <f t="shared" si="36"/>
        <v>18.627541870174394</v>
      </c>
      <c r="AZ35" s="10">
        <f t="shared" si="37"/>
        <v>19.113311777260979</v>
      </c>
      <c r="BA35" s="11">
        <f t="shared" si="38"/>
        <v>19.598996589424996</v>
      </c>
      <c r="BB35" s="12">
        <f t="shared" si="39"/>
        <v>20.084593445923854</v>
      </c>
      <c r="BC35" s="13">
        <f t="shared" si="40"/>
        <v>20.570099426361345</v>
      </c>
      <c r="BD35" s="14">
        <f t="shared" si="41"/>
        <v>21.055511548199689</v>
      </c>
      <c r="BE35" s="15">
        <f t="shared" si="42"/>
        <v>21.540826764179545</v>
      </c>
      <c r="BJ35" s="9">
        <f t="shared" si="43"/>
        <v>0.99892390240601558</v>
      </c>
      <c r="BK35" s="10">
        <f t="shared" si="44"/>
        <v>0.21480749649565395</v>
      </c>
      <c r="BL35" s="11">
        <f t="shared" si="45"/>
        <v>1.8777903001219304E-2</v>
      </c>
      <c r="BM35" s="12">
        <f t="shared" si="46"/>
        <v>-0.27526647476251076</v>
      </c>
      <c r="BN35" s="13">
        <f t="shared" si="47"/>
        <v>-0.47129591468626197</v>
      </c>
      <c r="BO35" s="14">
        <f t="shared" si="48"/>
        <v>-0.76533962191501936</v>
      </c>
      <c r="BP35" s="15">
        <f t="shared" si="49"/>
        <v>-0.96136832130208782</v>
      </c>
      <c r="BR35" s="9">
        <f t="shared" si="50"/>
        <v>8.8386616735483052</v>
      </c>
      <c r="BS35" s="10">
        <f t="shared" si="51"/>
        <v>9.3284792810031192</v>
      </c>
      <c r="BT35" s="11">
        <f t="shared" si="52"/>
        <v>9.8182679515110269</v>
      </c>
      <c r="BU35" s="12">
        <f t="shared" si="53"/>
        <v>10.30802604830899</v>
      </c>
      <c r="BV35" s="13">
        <f t="shared" si="54"/>
        <v>10.79775191605833</v>
      </c>
      <c r="BW35" s="14">
        <f t="shared" si="55"/>
        <v>11.287443879754324</v>
      </c>
      <c r="BX35" s="15">
        <f t="shared" si="56"/>
        <v>11.777100243610397</v>
      </c>
    </row>
    <row r="36" spans="1:76">
      <c r="A36">
        <f t="shared" si="57"/>
        <v>-10</v>
      </c>
      <c r="B36">
        <f t="shared" si="7"/>
        <v>-10</v>
      </c>
      <c r="E36" s="9">
        <f t="shared" si="58"/>
        <v>36.276893258479724</v>
      </c>
      <c r="F36" s="10">
        <f t="shared" si="59"/>
        <v>35.495342416583448</v>
      </c>
      <c r="G36" s="11">
        <f t="shared" si="60"/>
        <v>35.299897824878656</v>
      </c>
      <c r="H36" s="12">
        <f t="shared" si="61"/>
        <v>35.006689381523195</v>
      </c>
      <c r="I36" s="13">
        <f t="shared" si="62"/>
        <v>34.811189768904775</v>
      </c>
      <c r="J36" s="14">
        <f t="shared" si="63"/>
        <v>34.517900026574026</v>
      </c>
      <c r="K36" s="15">
        <f t="shared" si="64"/>
        <v>34.322347023600123</v>
      </c>
      <c r="M36" s="9">
        <f t="shared" si="8"/>
        <v>44.068121205963088</v>
      </c>
      <c r="N36" s="10">
        <f t="shared" si="9"/>
        <v>44.553290087596039</v>
      </c>
      <c r="O36" s="11">
        <f t="shared" si="10"/>
        <v>45.03820578607148</v>
      </c>
      <c r="P36" s="12">
        <f t="shared" si="11"/>
        <v>45.52285961421876</v>
      </c>
      <c r="Q36" s="13">
        <f t="shared" si="12"/>
        <v>46.007242513949386</v>
      </c>
      <c r="R36" s="14">
        <f t="shared" si="13"/>
        <v>46.491345036040009</v>
      </c>
      <c r="S36" s="15">
        <f t="shared" si="14"/>
        <v>46.975157318609142</v>
      </c>
      <c r="X36" s="9">
        <f t="shared" si="15"/>
        <v>21.410909471313673</v>
      </c>
      <c r="Y36" s="10">
        <f t="shared" si="16"/>
        <v>20.623227305675602</v>
      </c>
      <c r="Z36" s="11">
        <f t="shared" si="17"/>
        <v>20.426286535838141</v>
      </c>
      <c r="AA36" s="12">
        <f t="shared" si="18"/>
        <v>20.130860632494734</v>
      </c>
      <c r="AB36" s="13">
        <f t="shared" si="19"/>
        <v>19.933900347158204</v>
      </c>
      <c r="AC36" s="14">
        <f t="shared" si="20"/>
        <v>19.63844564767145</v>
      </c>
      <c r="AD36" s="15">
        <f t="shared" si="21"/>
        <v>19.441466479815897</v>
      </c>
      <c r="AF36" s="9">
        <f t="shared" si="22"/>
        <v>29.279074112309679</v>
      </c>
      <c r="AG36" s="10">
        <f t="shared" si="23"/>
        <v>29.770203678440474</v>
      </c>
      <c r="AH36" s="11">
        <f t="shared" si="24"/>
        <v>30.261245037145716</v>
      </c>
      <c r="AI36" s="12">
        <f t="shared" si="25"/>
        <v>30.752195530302952</v>
      </c>
      <c r="AJ36" s="13">
        <f t="shared" si="26"/>
        <v>31.243052419627308</v>
      </c>
      <c r="AK36" s="14">
        <f t="shared" si="27"/>
        <v>31.733812883180363</v>
      </c>
      <c r="AL36" s="15">
        <f t="shared" si="28"/>
        <v>32.224474011708388</v>
      </c>
      <c r="AQ36" s="9">
        <f t="shared" si="29"/>
        <v>11.484803628232237</v>
      </c>
      <c r="AR36" s="10">
        <f t="shared" si="30"/>
        <v>10.694253234933868</v>
      </c>
      <c r="AS36" s="11">
        <f t="shared" si="31"/>
        <v>10.496607759781654</v>
      </c>
      <c r="AT36" s="12">
        <f t="shared" si="32"/>
        <v>10.200133893268079</v>
      </c>
      <c r="AU36" s="13">
        <f t="shared" si="33"/>
        <v>10.002480970022903</v>
      </c>
      <c r="AV36" s="14">
        <f t="shared" si="34"/>
        <v>9.7059962206651225</v>
      </c>
      <c r="AW36" s="15">
        <f t="shared" si="35"/>
        <v>9.5083362340019395</v>
      </c>
      <c r="AY36" s="9">
        <f t="shared" si="36"/>
        <v>19.386652681812492</v>
      </c>
      <c r="AZ36" s="10">
        <f t="shared" si="37"/>
        <v>19.880238132068648</v>
      </c>
      <c r="BA36" s="11">
        <f t="shared" si="38"/>
        <v>20.373783231845319</v>
      </c>
      <c r="BB36" s="12">
        <f t="shared" si="39"/>
        <v>20.867286628324372</v>
      </c>
      <c r="BC36" s="13">
        <f t="shared" si="40"/>
        <v>21.360746938922926</v>
      </c>
      <c r="BD36" s="14">
        <f t="shared" si="41"/>
        <v>21.854162750030607</v>
      </c>
      <c r="BE36" s="15">
        <f t="shared" si="42"/>
        <v>22.347532615697254</v>
      </c>
      <c r="BJ36" s="9">
        <f t="shared" si="43"/>
        <v>1.553604851792018</v>
      </c>
      <c r="BK36" s="10">
        <f t="shared" si="44"/>
        <v>0.760717435347388</v>
      </c>
      <c r="BL36" s="11">
        <f t="shared" si="45"/>
        <v>0.56249506412772221</v>
      </c>
      <c r="BM36" s="12">
        <f t="shared" si="46"/>
        <v>0.26516129323071846</v>
      </c>
      <c r="BN36" s="13">
        <f t="shared" si="47"/>
        <v>6.6938698928313597E-2</v>
      </c>
      <c r="BO36" s="14">
        <f t="shared" si="48"/>
        <v>-0.23039520623060658</v>
      </c>
      <c r="BP36" s="15">
        <f t="shared" si="49"/>
        <v>-0.42861775647863509</v>
      </c>
      <c r="BR36" s="9">
        <f t="shared" si="50"/>
        <v>9.481724319865398</v>
      </c>
      <c r="BS36" s="10">
        <f t="shared" si="51"/>
        <v>9.9771495787536466</v>
      </c>
      <c r="BT36" s="11">
        <f t="shared" si="52"/>
        <v>10.47256083437798</v>
      </c>
      <c r="BU36" s="12">
        <f t="shared" si="53"/>
        <v>10.967957330083619</v>
      </c>
      <c r="BV36" s="13">
        <f t="shared" si="54"/>
        <v>11.463338299956742</v>
      </c>
      <c r="BW36" s="14">
        <f t="shared" si="55"/>
        <v>11.958702968297661</v>
      </c>
      <c r="BX36" s="15">
        <f t="shared" si="56"/>
        <v>12.454050549080783</v>
      </c>
    </row>
    <row r="37" spans="1:76">
      <c r="A37">
        <f t="shared" si="57"/>
        <v>-5</v>
      </c>
      <c r="B37">
        <f t="shared" si="7"/>
        <v>-5</v>
      </c>
      <c r="E37" s="9">
        <f t="shared" si="58"/>
        <v>36.818239210837568</v>
      </c>
      <c r="F37" s="10">
        <f t="shared" si="59"/>
        <v>36.02290990550825</v>
      </c>
      <c r="G37" s="11">
        <f t="shared" si="60"/>
        <v>35.824062770018614</v>
      </c>
      <c r="H37" s="12">
        <f t="shared" si="61"/>
        <v>35.525781253840194</v>
      </c>
      <c r="I37" s="13">
        <f t="shared" si="62"/>
        <v>35.326919803875199</v>
      </c>
      <c r="J37" s="14">
        <f t="shared" si="63"/>
        <v>35.028617143344142</v>
      </c>
      <c r="K37" s="15">
        <f t="shared" si="64"/>
        <v>34.829741811906217</v>
      </c>
      <c r="M37" s="9">
        <f t="shared" si="8"/>
        <v>44.765178904214864</v>
      </c>
      <c r="N37" s="10">
        <f t="shared" si="9"/>
        <v>45.261393519561651</v>
      </c>
      <c r="O37" s="11">
        <f t="shared" si="10"/>
        <v>45.757541127000366</v>
      </c>
      <c r="P37" s="12">
        <f t="shared" si="11"/>
        <v>46.253619342905459</v>
      </c>
      <c r="Q37" s="13">
        <f t="shared" si="12"/>
        <v>46.749625676495789</v>
      </c>
      <c r="R37" s="14">
        <f t="shared" si="13"/>
        <v>47.245557523629692</v>
      </c>
      <c r="S37" s="15">
        <f t="shared" si="14"/>
        <v>47.741412160168707</v>
      </c>
      <c r="X37" s="9">
        <f t="shared" si="15"/>
        <v>21.852219593591911</v>
      </c>
      <c r="Y37" s="10">
        <f t="shared" si="16"/>
        <v>21.055323049479771</v>
      </c>
      <c r="Z37" s="11">
        <f t="shared" si="17"/>
        <v>20.856093670509228</v>
      </c>
      <c r="AA37" s="12">
        <f t="shared" si="18"/>
        <v>20.557245779702289</v>
      </c>
      <c r="AB37" s="13">
        <f t="shared" si="19"/>
        <v>20.358011343037152</v>
      </c>
      <c r="AC37" s="14">
        <f t="shared" si="20"/>
        <v>20.059155989584003</v>
      </c>
      <c r="AD37" s="15">
        <f t="shared" si="21"/>
        <v>19.859916659571084</v>
      </c>
      <c r="AF37" s="9">
        <f t="shared" si="22"/>
        <v>29.818938705123614</v>
      </c>
      <c r="AG37" s="10">
        <f t="shared" si="23"/>
        <v>30.316694730639558</v>
      </c>
      <c r="AH37" s="11">
        <f t="shared" si="24"/>
        <v>30.814427788960394</v>
      </c>
      <c r="AI37" s="12">
        <f t="shared" si="25"/>
        <v>31.312137178212467</v>
      </c>
      <c r="AJ37" s="13">
        <f t="shared" si="26"/>
        <v>31.809822174635627</v>
      </c>
      <c r="AK37" s="14">
        <f t="shared" si="27"/>
        <v>32.307482031602191</v>
      </c>
      <c r="AL37" s="15">
        <f t="shared" si="28"/>
        <v>32.805115978585718</v>
      </c>
      <c r="AQ37" s="9">
        <f t="shared" si="29"/>
        <v>11.870864622633933</v>
      </c>
      <c r="AR37" s="10">
        <f t="shared" si="30"/>
        <v>11.073240889066492</v>
      </c>
      <c r="AS37" s="11">
        <f t="shared" si="31"/>
        <v>10.873832894877031</v>
      </c>
      <c r="AT37" s="12">
        <f t="shared" si="32"/>
        <v>10.574719423138431</v>
      </c>
      <c r="AU37" s="13">
        <f t="shared" si="33"/>
        <v>10.375309478171356</v>
      </c>
      <c r="AV37" s="14">
        <f t="shared" si="34"/>
        <v>10.076193154469129</v>
      </c>
      <c r="AW37" s="15">
        <f t="shared" si="35"/>
        <v>9.8767813573792314</v>
      </c>
      <c r="AY37" s="9">
        <f t="shared" si="36"/>
        <v>19.846149510709498</v>
      </c>
      <c r="AZ37" s="10">
        <f t="shared" si="37"/>
        <v>20.34453196715581</v>
      </c>
      <c r="BA37" s="11">
        <f t="shared" si="38"/>
        <v>20.842903938366277</v>
      </c>
      <c r="BB37" s="12">
        <f t="shared" si="39"/>
        <v>21.341265073033796</v>
      </c>
      <c r="BC37" s="13">
        <f t="shared" si="40"/>
        <v>21.839615011872251</v>
      </c>
      <c r="BD37" s="14">
        <f t="shared" si="41"/>
        <v>22.337953387274162</v>
      </c>
      <c r="BE37" s="15">
        <f t="shared" si="42"/>
        <v>22.836279822954435</v>
      </c>
      <c r="BJ37" s="9">
        <f t="shared" si="43"/>
        <v>1.8881781351432476</v>
      </c>
      <c r="BK37" s="10">
        <f t="shared" si="44"/>
        <v>1.0899643984429486</v>
      </c>
      <c r="BL37" s="11">
        <f t="shared" si="45"/>
        <v>0.89041078904102156</v>
      </c>
      <c r="BM37" s="12">
        <f t="shared" si="46"/>
        <v>0.59108028761911846</v>
      </c>
      <c r="BN37" s="13">
        <f t="shared" si="47"/>
        <v>0.39152657760901721</v>
      </c>
      <c r="BO37" s="14">
        <f t="shared" si="48"/>
        <v>9.2195976105741859E-2</v>
      </c>
      <c r="BP37" s="15">
        <f t="shared" si="49"/>
        <v>-0.10735776674746005</v>
      </c>
      <c r="BR37" s="9">
        <f t="shared" si="50"/>
        <v>9.8701081795361389</v>
      </c>
      <c r="BS37" s="10">
        <f t="shared" si="51"/>
        <v>10.368956950389993</v>
      </c>
      <c r="BT37" s="11">
        <f t="shared" si="52"/>
        <v>10.867802043068071</v>
      </c>
      <c r="BU37" s="12">
        <f t="shared" si="53"/>
        <v>11.366643263777929</v>
      </c>
      <c r="BV37" s="13">
        <f t="shared" si="54"/>
        <v>11.865480416250346</v>
      </c>
      <c r="BW37" s="14">
        <f t="shared" si="55"/>
        <v>12.364313301600664</v>
      </c>
      <c r="BX37" s="15">
        <f t="shared" si="56"/>
        <v>12.86314171818654</v>
      </c>
    </row>
    <row r="38" spans="1:76">
      <c r="A38">
        <f t="shared" si="57"/>
        <v>0</v>
      </c>
      <c r="B38">
        <f t="shared" si="7"/>
        <v>0</v>
      </c>
      <c r="E38" s="9">
        <f t="shared" si="58"/>
        <v>37</v>
      </c>
      <c r="F38" s="10">
        <f t="shared" si="59"/>
        <v>36.200000000000003</v>
      </c>
      <c r="G38" s="11">
        <f t="shared" si="60"/>
        <v>36</v>
      </c>
      <c r="H38" s="12">
        <f t="shared" si="61"/>
        <v>35.700000000000003</v>
      </c>
      <c r="I38" s="13">
        <f t="shared" si="62"/>
        <v>35.5</v>
      </c>
      <c r="J38" s="14">
        <f t="shared" si="63"/>
        <v>35.20000000000001</v>
      </c>
      <c r="K38" s="15">
        <f t="shared" si="64"/>
        <v>35</v>
      </c>
      <c r="M38" s="9">
        <f t="shared" si="8"/>
        <v>45.000000000000007</v>
      </c>
      <c r="N38" s="10">
        <f t="shared" si="9"/>
        <v>45.5</v>
      </c>
      <c r="O38" s="11">
        <f t="shared" si="10"/>
        <v>46</v>
      </c>
      <c r="P38" s="12">
        <f t="shared" si="11"/>
        <v>46.5</v>
      </c>
      <c r="Q38" s="13">
        <f t="shared" si="12"/>
        <v>47.000000000000007</v>
      </c>
      <c r="R38" s="14">
        <f t="shared" si="13"/>
        <v>47.5</v>
      </c>
      <c r="S38" s="15">
        <f t="shared" si="14"/>
        <v>47.999999999999993</v>
      </c>
      <c r="X38" s="9">
        <f t="shared" si="15"/>
        <v>22.000000000000007</v>
      </c>
      <c r="Y38" s="10">
        <f t="shared" si="16"/>
        <v>21.200000000000003</v>
      </c>
      <c r="Z38" s="11">
        <f t="shared" si="17"/>
        <v>21</v>
      </c>
      <c r="AA38" s="12">
        <f t="shared" si="18"/>
        <v>20.700000000000006</v>
      </c>
      <c r="AB38" s="13">
        <f t="shared" si="19"/>
        <v>20.500000000000004</v>
      </c>
      <c r="AC38" s="14">
        <f t="shared" si="20"/>
        <v>20.200000000000003</v>
      </c>
      <c r="AD38" s="15">
        <f t="shared" si="21"/>
        <v>20</v>
      </c>
      <c r="AF38" s="9">
        <f t="shared" si="22"/>
        <v>30.000000000000004</v>
      </c>
      <c r="AG38" s="10">
        <f t="shared" si="23"/>
        <v>30.500000000000004</v>
      </c>
      <c r="AH38" s="11">
        <f t="shared" si="24"/>
        <v>31.000000000000007</v>
      </c>
      <c r="AI38" s="12">
        <f t="shared" si="25"/>
        <v>31.500000000000014</v>
      </c>
      <c r="AJ38" s="13">
        <f t="shared" si="26"/>
        <v>32.000000000000014</v>
      </c>
      <c r="AK38" s="14">
        <f t="shared" si="27"/>
        <v>32.5</v>
      </c>
      <c r="AL38" s="15">
        <f t="shared" si="28"/>
        <v>32.999999999999993</v>
      </c>
      <c r="AQ38" s="9">
        <f t="shared" si="29"/>
        <v>12.000000000000007</v>
      </c>
      <c r="AR38" s="10">
        <f t="shared" si="30"/>
        <v>11.200000000000006</v>
      </c>
      <c r="AS38" s="11">
        <f t="shared" si="31"/>
        <v>11.000000000000009</v>
      </c>
      <c r="AT38" s="12">
        <f t="shared" si="32"/>
        <v>10.70000000000001</v>
      </c>
      <c r="AU38" s="13">
        <f t="shared" si="33"/>
        <v>10.500000000000011</v>
      </c>
      <c r="AV38" s="14">
        <f t="shared" si="34"/>
        <v>10.200000000000014</v>
      </c>
      <c r="AW38" s="15">
        <f t="shared" si="35"/>
        <v>10.000000000000005</v>
      </c>
      <c r="AY38" s="9">
        <f t="shared" si="36"/>
        <v>20.000000000000004</v>
      </c>
      <c r="AZ38" s="10">
        <f t="shared" si="37"/>
        <v>20.500000000000007</v>
      </c>
      <c r="BA38" s="11">
        <f t="shared" si="38"/>
        <v>21</v>
      </c>
      <c r="BB38" s="12">
        <f t="shared" si="39"/>
        <v>21.500000000000004</v>
      </c>
      <c r="BC38" s="13">
        <f t="shared" si="40"/>
        <v>22.000000000000011</v>
      </c>
      <c r="BD38" s="14">
        <f t="shared" si="41"/>
        <v>22.500000000000011</v>
      </c>
      <c r="BE38" s="15">
        <f t="shared" si="42"/>
        <v>23.000000000000007</v>
      </c>
      <c r="BJ38" s="9">
        <f t="shared" si="43"/>
        <v>2.0000000000000036</v>
      </c>
      <c r="BK38" s="10">
        <f t="shared" si="44"/>
        <v>1.1999999999999984</v>
      </c>
      <c r="BL38" s="11">
        <f t="shared" si="45"/>
        <v>1.0000000000000004</v>
      </c>
      <c r="BM38" s="12">
        <f t="shared" si="46"/>
        <v>0.70000000000000717</v>
      </c>
      <c r="BN38" s="13">
        <f t="shared" si="47"/>
        <v>0.50000000000000311</v>
      </c>
      <c r="BO38" s="14">
        <f t="shared" si="48"/>
        <v>0.2000000000000077</v>
      </c>
      <c r="BP38" s="15">
        <f t="shared" si="49"/>
        <v>0</v>
      </c>
      <c r="BR38" s="9">
        <f t="shared" si="50"/>
        <v>10.000000000000002</v>
      </c>
      <c r="BS38" s="10">
        <f t="shared" si="51"/>
        <v>10.500000000000004</v>
      </c>
      <c r="BT38" s="11">
        <f t="shared" si="52"/>
        <v>11.000000000000002</v>
      </c>
      <c r="BU38" s="12">
        <f t="shared" si="53"/>
        <v>11.500000000000002</v>
      </c>
      <c r="BV38" s="13">
        <f t="shared" si="54"/>
        <v>12.000000000000002</v>
      </c>
      <c r="BW38" s="14">
        <f t="shared" si="55"/>
        <v>12.5</v>
      </c>
      <c r="BX38" s="15">
        <f t="shared" si="56"/>
        <v>13</v>
      </c>
    </row>
    <row r="39" spans="1:76">
      <c r="A39">
        <f t="shared" si="57"/>
        <v>5</v>
      </c>
      <c r="B39">
        <f t="shared" si="7"/>
        <v>5</v>
      </c>
      <c r="E39" s="9">
        <f t="shared" si="58"/>
        <v>36.818239210837568</v>
      </c>
      <c r="F39" s="10">
        <f t="shared" si="59"/>
        <v>36.02290990550825</v>
      </c>
      <c r="G39" s="11">
        <f t="shared" si="60"/>
        <v>35.824062770018614</v>
      </c>
      <c r="H39" s="12">
        <f t="shared" si="61"/>
        <v>35.525781253840194</v>
      </c>
      <c r="I39" s="13">
        <f t="shared" si="62"/>
        <v>35.326919803875199</v>
      </c>
      <c r="J39" s="14">
        <f t="shared" si="63"/>
        <v>35.028617143344142</v>
      </c>
      <c r="K39" s="15">
        <f t="shared" si="64"/>
        <v>34.829741811906217</v>
      </c>
      <c r="M39" s="9">
        <f t="shared" si="8"/>
        <v>44.765178904214864</v>
      </c>
      <c r="N39" s="10">
        <f t="shared" si="9"/>
        <v>45.261393519561651</v>
      </c>
      <c r="O39" s="11">
        <f t="shared" si="10"/>
        <v>45.757541127000366</v>
      </c>
      <c r="P39" s="12">
        <f t="shared" si="11"/>
        <v>46.253619342905459</v>
      </c>
      <c r="Q39" s="13">
        <f t="shared" si="12"/>
        <v>46.749625676495789</v>
      </c>
      <c r="R39" s="14">
        <f t="shared" si="13"/>
        <v>47.245557523629692</v>
      </c>
      <c r="S39" s="15">
        <f t="shared" si="14"/>
        <v>47.741412160168707</v>
      </c>
      <c r="X39" s="9">
        <f t="shared" si="15"/>
        <v>21.852219593591911</v>
      </c>
      <c r="Y39" s="10">
        <f t="shared" si="16"/>
        <v>21.055323049479771</v>
      </c>
      <c r="Z39" s="11">
        <f t="shared" si="17"/>
        <v>20.856093670509228</v>
      </c>
      <c r="AA39" s="12">
        <f t="shared" si="18"/>
        <v>20.557245779702289</v>
      </c>
      <c r="AB39" s="13">
        <f t="shared" si="19"/>
        <v>20.358011343037152</v>
      </c>
      <c r="AC39" s="14">
        <f t="shared" si="20"/>
        <v>20.059155989584003</v>
      </c>
      <c r="AD39" s="15">
        <f t="shared" si="21"/>
        <v>19.859916659571084</v>
      </c>
      <c r="AF39" s="9">
        <f t="shared" si="22"/>
        <v>29.818938705123614</v>
      </c>
      <c r="AG39" s="10">
        <f t="shared" si="23"/>
        <v>30.316694730639558</v>
      </c>
      <c r="AH39" s="11">
        <f t="shared" si="24"/>
        <v>30.814427788960394</v>
      </c>
      <c r="AI39" s="12">
        <f t="shared" si="25"/>
        <v>31.312137178212467</v>
      </c>
      <c r="AJ39" s="13">
        <f t="shared" si="26"/>
        <v>31.809822174635627</v>
      </c>
      <c r="AK39" s="14">
        <f t="shared" si="27"/>
        <v>32.307482031602191</v>
      </c>
      <c r="AL39" s="15">
        <f t="shared" si="28"/>
        <v>32.805115978585718</v>
      </c>
      <c r="AQ39" s="9">
        <f t="shared" si="29"/>
        <v>11.870864622633933</v>
      </c>
      <c r="AR39" s="10">
        <f t="shared" si="30"/>
        <v>11.073240889066492</v>
      </c>
      <c r="AS39" s="11">
        <f t="shared" si="31"/>
        <v>10.873832894877031</v>
      </c>
      <c r="AT39" s="12">
        <f t="shared" si="32"/>
        <v>10.574719423138431</v>
      </c>
      <c r="AU39" s="13">
        <f t="shared" si="33"/>
        <v>10.375309478171356</v>
      </c>
      <c r="AV39" s="14">
        <f t="shared" si="34"/>
        <v>10.076193154469129</v>
      </c>
      <c r="AW39" s="15">
        <f t="shared" si="35"/>
        <v>9.8767813573792314</v>
      </c>
      <c r="AY39" s="9">
        <f t="shared" si="36"/>
        <v>19.846149510709498</v>
      </c>
      <c r="AZ39" s="10">
        <f t="shared" si="37"/>
        <v>20.34453196715581</v>
      </c>
      <c r="BA39" s="11">
        <f t="shared" si="38"/>
        <v>20.842903938366277</v>
      </c>
      <c r="BB39" s="12">
        <f t="shared" si="39"/>
        <v>21.341265073033796</v>
      </c>
      <c r="BC39" s="13">
        <f t="shared" si="40"/>
        <v>21.839615011872251</v>
      </c>
      <c r="BD39" s="14">
        <f t="shared" si="41"/>
        <v>22.337953387274162</v>
      </c>
      <c r="BE39" s="15">
        <f t="shared" si="42"/>
        <v>22.836279822954435</v>
      </c>
      <c r="BJ39" s="9">
        <f t="shared" si="43"/>
        <v>1.8881781351432476</v>
      </c>
      <c r="BK39" s="10">
        <f t="shared" si="44"/>
        <v>1.0899643984429486</v>
      </c>
      <c r="BL39" s="11">
        <f t="shared" si="45"/>
        <v>0.89041078904102156</v>
      </c>
      <c r="BM39" s="12">
        <f t="shared" si="46"/>
        <v>0.59108028761911846</v>
      </c>
      <c r="BN39" s="13">
        <f t="shared" si="47"/>
        <v>0.39152657760901721</v>
      </c>
      <c r="BO39" s="14">
        <f t="shared" si="48"/>
        <v>9.2195976105741859E-2</v>
      </c>
      <c r="BP39" s="15">
        <f t="shared" si="49"/>
        <v>-0.10735776674746005</v>
      </c>
      <c r="BR39" s="9">
        <f t="shared" si="50"/>
        <v>9.8701081795361389</v>
      </c>
      <c r="BS39" s="10">
        <f t="shared" si="51"/>
        <v>10.368956950389993</v>
      </c>
      <c r="BT39" s="11">
        <f t="shared" si="52"/>
        <v>10.867802043068071</v>
      </c>
      <c r="BU39" s="12">
        <f t="shared" si="53"/>
        <v>11.366643263777929</v>
      </c>
      <c r="BV39" s="13">
        <f t="shared" si="54"/>
        <v>11.865480416250346</v>
      </c>
      <c r="BW39" s="14">
        <f t="shared" si="55"/>
        <v>12.364313301600664</v>
      </c>
      <c r="BX39" s="15">
        <f t="shared" si="56"/>
        <v>12.86314171818654</v>
      </c>
    </row>
    <row r="40" spans="1:76">
      <c r="A40">
        <f t="shared" si="57"/>
        <v>10</v>
      </c>
      <c r="B40">
        <f t="shared" si="7"/>
        <v>10</v>
      </c>
      <c r="E40" s="9">
        <f t="shared" si="58"/>
        <v>36.276893258479724</v>
      </c>
      <c r="F40" s="10">
        <f t="shared" si="59"/>
        <v>35.495342416583448</v>
      </c>
      <c r="G40" s="11">
        <f t="shared" si="60"/>
        <v>35.299897824878656</v>
      </c>
      <c r="H40" s="12">
        <f t="shared" si="61"/>
        <v>35.006689381523195</v>
      </c>
      <c r="I40" s="13">
        <f t="shared" si="62"/>
        <v>34.811189768904775</v>
      </c>
      <c r="J40" s="14">
        <f t="shared" si="63"/>
        <v>34.517900026574026</v>
      </c>
      <c r="K40" s="15">
        <f t="shared" si="64"/>
        <v>34.322347023600123</v>
      </c>
      <c r="M40" s="9">
        <f t="shared" si="8"/>
        <v>44.068121205963088</v>
      </c>
      <c r="N40" s="10">
        <f t="shared" si="9"/>
        <v>44.553290087596039</v>
      </c>
      <c r="O40" s="11">
        <f t="shared" si="10"/>
        <v>45.03820578607148</v>
      </c>
      <c r="P40" s="12">
        <f t="shared" si="11"/>
        <v>45.52285961421876</v>
      </c>
      <c r="Q40" s="13">
        <f t="shared" si="12"/>
        <v>46.007242513949386</v>
      </c>
      <c r="R40" s="14">
        <f t="shared" si="13"/>
        <v>46.491345036040009</v>
      </c>
      <c r="S40" s="15">
        <f t="shared" si="14"/>
        <v>46.975157318609142</v>
      </c>
      <c r="X40" s="9">
        <f t="shared" si="15"/>
        <v>21.410909471313673</v>
      </c>
      <c r="Y40" s="10">
        <f t="shared" si="16"/>
        <v>20.623227305675602</v>
      </c>
      <c r="Z40" s="11">
        <f t="shared" si="17"/>
        <v>20.426286535838141</v>
      </c>
      <c r="AA40" s="12">
        <f t="shared" si="18"/>
        <v>20.130860632494734</v>
      </c>
      <c r="AB40" s="13">
        <f t="shared" si="19"/>
        <v>19.933900347158204</v>
      </c>
      <c r="AC40" s="14">
        <f t="shared" si="20"/>
        <v>19.63844564767145</v>
      </c>
      <c r="AD40" s="15">
        <f t="shared" si="21"/>
        <v>19.441466479815897</v>
      </c>
      <c r="AF40" s="9">
        <f t="shared" si="22"/>
        <v>29.279074112309679</v>
      </c>
      <c r="AG40" s="10">
        <f t="shared" si="23"/>
        <v>29.770203678440474</v>
      </c>
      <c r="AH40" s="11">
        <f t="shared" si="24"/>
        <v>30.261245037145716</v>
      </c>
      <c r="AI40" s="12">
        <f t="shared" si="25"/>
        <v>30.752195530302952</v>
      </c>
      <c r="AJ40" s="13">
        <f t="shared" si="26"/>
        <v>31.243052419627308</v>
      </c>
      <c r="AK40" s="14">
        <f t="shared" si="27"/>
        <v>31.733812883180363</v>
      </c>
      <c r="AL40" s="15">
        <f t="shared" si="28"/>
        <v>32.224474011708388</v>
      </c>
      <c r="AQ40" s="9">
        <f t="shared" si="29"/>
        <v>11.484803628232237</v>
      </c>
      <c r="AR40" s="10">
        <f t="shared" si="30"/>
        <v>10.694253234933868</v>
      </c>
      <c r="AS40" s="11">
        <f t="shared" si="31"/>
        <v>10.496607759781654</v>
      </c>
      <c r="AT40" s="12">
        <f t="shared" si="32"/>
        <v>10.200133893268079</v>
      </c>
      <c r="AU40" s="13">
        <f t="shared" si="33"/>
        <v>10.002480970022903</v>
      </c>
      <c r="AV40" s="14">
        <f t="shared" si="34"/>
        <v>9.7059962206651225</v>
      </c>
      <c r="AW40" s="15">
        <f t="shared" si="35"/>
        <v>9.5083362340019395</v>
      </c>
      <c r="AY40" s="9">
        <f t="shared" si="36"/>
        <v>19.386652681812492</v>
      </c>
      <c r="AZ40" s="10">
        <f t="shared" si="37"/>
        <v>19.880238132068648</v>
      </c>
      <c r="BA40" s="11">
        <f t="shared" si="38"/>
        <v>20.373783231845319</v>
      </c>
      <c r="BB40" s="12">
        <f t="shared" si="39"/>
        <v>20.867286628324372</v>
      </c>
      <c r="BC40" s="13">
        <f t="shared" si="40"/>
        <v>21.360746938922926</v>
      </c>
      <c r="BD40" s="14">
        <f t="shared" si="41"/>
        <v>21.854162750030607</v>
      </c>
      <c r="BE40" s="15">
        <f t="shared" si="42"/>
        <v>22.347532615697254</v>
      </c>
      <c r="BJ40" s="9">
        <f t="shared" si="43"/>
        <v>1.553604851792018</v>
      </c>
      <c r="BK40" s="10">
        <f t="shared" si="44"/>
        <v>0.760717435347388</v>
      </c>
      <c r="BL40" s="11">
        <f t="shared" si="45"/>
        <v>0.56249506412772221</v>
      </c>
      <c r="BM40" s="12">
        <f t="shared" si="46"/>
        <v>0.26516129323071846</v>
      </c>
      <c r="BN40" s="13">
        <f t="shared" si="47"/>
        <v>6.6938698928313597E-2</v>
      </c>
      <c r="BO40" s="14">
        <f t="shared" si="48"/>
        <v>-0.23039520623060658</v>
      </c>
      <c r="BP40" s="15">
        <f t="shared" si="49"/>
        <v>-0.42861775647863509</v>
      </c>
      <c r="BR40" s="9">
        <f t="shared" si="50"/>
        <v>9.481724319865398</v>
      </c>
      <c r="BS40" s="10">
        <f t="shared" si="51"/>
        <v>9.9771495787536466</v>
      </c>
      <c r="BT40" s="11">
        <f t="shared" si="52"/>
        <v>10.47256083437798</v>
      </c>
      <c r="BU40" s="12">
        <f t="shared" si="53"/>
        <v>10.967957330083619</v>
      </c>
      <c r="BV40" s="13">
        <f t="shared" si="54"/>
        <v>11.463338299956742</v>
      </c>
      <c r="BW40" s="14">
        <f t="shared" si="55"/>
        <v>11.958702968297661</v>
      </c>
      <c r="BX40" s="15">
        <f t="shared" si="56"/>
        <v>12.454050549080783</v>
      </c>
    </row>
    <row r="41" spans="1:76">
      <c r="A41">
        <f t="shared" si="57"/>
        <v>15</v>
      </c>
      <c r="B41">
        <f t="shared" si="7"/>
        <v>15</v>
      </c>
      <c r="E41" s="9">
        <f t="shared" si="58"/>
        <v>35.387386606330011</v>
      </c>
      <c r="F41" s="10">
        <f t="shared" si="59"/>
        <v>34.628058372541979</v>
      </c>
      <c r="G41" s="11">
        <f t="shared" si="60"/>
        <v>34.438106577242031</v>
      </c>
      <c r="H41" s="12">
        <f t="shared" si="61"/>
        <v>34.153091329156133</v>
      </c>
      <c r="I41" s="13">
        <f t="shared" si="62"/>
        <v>33.963023581520396</v>
      </c>
      <c r="J41" s="14">
        <f t="shared" si="63"/>
        <v>33.677836916283646</v>
      </c>
      <c r="K41" s="15">
        <f t="shared" si="64"/>
        <v>33.487656540518437</v>
      </c>
      <c r="M41" s="9">
        <f t="shared" si="8"/>
        <v>42.929956398889985</v>
      </c>
      <c r="N41" s="10">
        <f t="shared" si="9"/>
        <v>43.397675253336715</v>
      </c>
      <c r="O41" s="11">
        <f t="shared" si="10"/>
        <v>43.86487453690323</v>
      </c>
      <c r="P41" s="12">
        <f t="shared" si="11"/>
        <v>44.331537420891308</v>
      </c>
      <c r="Q41" s="13">
        <f t="shared" si="12"/>
        <v>44.797646416163289</v>
      </c>
      <c r="R41" s="14">
        <f t="shared" si="13"/>
        <v>45.263183340586785</v>
      </c>
      <c r="S41" s="15">
        <f t="shared" si="14"/>
        <v>45.728129284629823</v>
      </c>
      <c r="X41" s="9">
        <f t="shared" si="15"/>
        <v>20.682035862884167</v>
      </c>
      <c r="Y41" s="10">
        <f t="shared" si="16"/>
        <v>19.909401076039774</v>
      </c>
      <c r="Z41" s="11">
        <f t="shared" si="17"/>
        <v>19.716199529899534</v>
      </c>
      <c r="AA41" s="12">
        <f t="shared" si="18"/>
        <v>19.426365966291606</v>
      </c>
      <c r="AB41" s="13">
        <f t="shared" si="19"/>
        <v>19.233123076466352</v>
      </c>
      <c r="AC41" s="14">
        <f t="shared" si="20"/>
        <v>18.943228505998405</v>
      </c>
      <c r="AD41" s="15">
        <f t="shared" si="21"/>
        <v>18.749945611049718</v>
      </c>
      <c r="AF41" s="9">
        <f t="shared" si="22"/>
        <v>28.390075392117851</v>
      </c>
      <c r="AG41" s="10">
        <f t="shared" si="23"/>
        <v>28.870497114571375</v>
      </c>
      <c r="AH41" s="11">
        <f t="shared" si="24"/>
        <v>29.350733261573954</v>
      </c>
      <c r="AI41" s="12">
        <f t="shared" si="25"/>
        <v>29.830778362072888</v>
      </c>
      <c r="AJ41" s="13">
        <f t="shared" si="26"/>
        <v>30.310626788945633</v>
      </c>
      <c r="AK41" s="14">
        <f t="shared" si="27"/>
        <v>30.790272752515566</v>
      </c>
      <c r="AL41" s="15">
        <f t="shared" si="28"/>
        <v>31.269710293772093</v>
      </c>
      <c r="AQ41" s="9">
        <f t="shared" si="29"/>
        <v>10.845787880575545</v>
      </c>
      <c r="AR41" s="10">
        <f t="shared" si="30"/>
        <v>10.066846032425298</v>
      </c>
      <c r="AS41" s="11">
        <f t="shared" si="31"/>
        <v>9.8720941746136095</v>
      </c>
      <c r="AT41" s="12">
        <f t="shared" si="32"/>
        <v>9.579954638237794</v>
      </c>
      <c r="AU41" s="13">
        <f t="shared" si="33"/>
        <v>9.3851873089707034</v>
      </c>
      <c r="AV41" s="14">
        <f t="shared" si="34"/>
        <v>9.0930251895867311</v>
      </c>
      <c r="AW41" s="15">
        <f t="shared" si="35"/>
        <v>8.8982432189977505</v>
      </c>
      <c r="AY41" s="9">
        <f t="shared" si="36"/>
        <v>18.627541870174394</v>
      </c>
      <c r="AZ41" s="10">
        <f t="shared" si="37"/>
        <v>19.113311777260979</v>
      </c>
      <c r="BA41" s="11">
        <f t="shared" si="38"/>
        <v>19.598996589424996</v>
      </c>
      <c r="BB41" s="12">
        <f t="shared" si="39"/>
        <v>20.084593445923854</v>
      </c>
      <c r="BC41" s="13">
        <f t="shared" si="40"/>
        <v>20.570099426361345</v>
      </c>
      <c r="BD41" s="14">
        <f t="shared" si="41"/>
        <v>21.055511548199689</v>
      </c>
      <c r="BE41" s="15">
        <f t="shared" si="42"/>
        <v>21.540826764179545</v>
      </c>
      <c r="BJ41" s="9">
        <f t="shared" si="43"/>
        <v>0.99892390240601558</v>
      </c>
      <c r="BK41" s="10">
        <f t="shared" si="44"/>
        <v>0.21480749649565395</v>
      </c>
      <c r="BL41" s="11">
        <f t="shared" si="45"/>
        <v>1.8777903001219304E-2</v>
      </c>
      <c r="BM41" s="12">
        <f t="shared" si="46"/>
        <v>-0.27526647476251076</v>
      </c>
      <c r="BN41" s="13">
        <f t="shared" si="47"/>
        <v>-0.47129591468626197</v>
      </c>
      <c r="BO41" s="14">
        <f t="shared" si="48"/>
        <v>-0.76533962191501936</v>
      </c>
      <c r="BP41" s="15">
        <f t="shared" si="49"/>
        <v>-0.96136832130208782</v>
      </c>
      <c r="BR41" s="9">
        <f t="shared" si="50"/>
        <v>8.8386616735483052</v>
      </c>
      <c r="BS41" s="10">
        <f t="shared" si="51"/>
        <v>9.3284792810031192</v>
      </c>
      <c r="BT41" s="11">
        <f t="shared" si="52"/>
        <v>9.8182679515110269</v>
      </c>
      <c r="BU41" s="12">
        <f t="shared" si="53"/>
        <v>10.30802604830899</v>
      </c>
      <c r="BV41" s="13">
        <f t="shared" si="54"/>
        <v>10.79775191605833</v>
      </c>
      <c r="BW41" s="14">
        <f t="shared" si="55"/>
        <v>11.287443879754324</v>
      </c>
      <c r="BX41" s="15">
        <f t="shared" si="56"/>
        <v>11.777100243610397</v>
      </c>
    </row>
    <row r="42" spans="1:76">
      <c r="A42">
        <f t="shared" si="57"/>
        <v>20</v>
      </c>
      <c r="B42">
        <f t="shared" si="7"/>
        <v>20</v>
      </c>
      <c r="E42" s="9">
        <f t="shared" si="58"/>
        <v>34.167564148222525</v>
      </c>
      <c r="F42" s="10">
        <f t="shared" si="59"/>
        <v>33.437909554160171</v>
      </c>
      <c r="G42" s="11">
        <f t="shared" si="60"/>
        <v>33.255301609120608</v>
      </c>
      <c r="H42" s="12">
        <f t="shared" si="61"/>
        <v>32.981247451943915</v>
      </c>
      <c r="I42" s="13">
        <f t="shared" si="62"/>
        <v>32.79845107730857</v>
      </c>
      <c r="J42" s="14">
        <f t="shared" si="63"/>
        <v>32.524118177533502</v>
      </c>
      <c r="K42" s="15">
        <f t="shared" si="64"/>
        <v>32.341138541009492</v>
      </c>
      <c r="M42" s="9">
        <f t="shared" si="8"/>
        <v>41.382631359758534</v>
      </c>
      <c r="N42" s="10">
        <f t="shared" si="9"/>
        <v>41.827705680134798</v>
      </c>
      <c r="O42" s="11">
        <f t="shared" si="10"/>
        <v>42.271963485300304</v>
      </c>
      <c r="P42" s="12">
        <f t="shared" si="11"/>
        <v>42.715380262889092</v>
      </c>
      <c r="Q42" s="13">
        <f t="shared" si="12"/>
        <v>43.157930643376758</v>
      </c>
      <c r="R42" s="14">
        <f t="shared" si="13"/>
        <v>43.599588363395597</v>
      </c>
      <c r="S42" s="15">
        <f t="shared" si="14"/>
        <v>44.040326227335754</v>
      </c>
      <c r="X42" s="9">
        <f t="shared" si="15"/>
        <v>19.675137668759245</v>
      </c>
      <c r="Y42" s="10">
        <f t="shared" si="16"/>
        <v>18.922951563858543</v>
      </c>
      <c r="Z42" s="11">
        <f t="shared" si="17"/>
        <v>18.734835066591248</v>
      </c>
      <c r="AA42" s="12">
        <f t="shared" si="18"/>
        <v>18.452609297698022</v>
      </c>
      <c r="AB42" s="13">
        <f t="shared" si="19"/>
        <v>18.264425284737456</v>
      </c>
      <c r="AC42" s="14">
        <f t="shared" si="20"/>
        <v>17.982099889270234</v>
      </c>
      <c r="AD42" s="15">
        <f t="shared" si="21"/>
        <v>17.79385054701072</v>
      </c>
      <c r="AF42" s="9">
        <f t="shared" si="22"/>
        <v>27.167152717379963</v>
      </c>
      <c r="AG42" s="10">
        <f t="shared" si="23"/>
        <v>27.633240252314479</v>
      </c>
      <c r="AH42" s="11">
        <f t="shared" si="24"/>
        <v>28.099027142329998</v>
      </c>
      <c r="AI42" s="12">
        <f t="shared" si="25"/>
        <v>28.564504766406642</v>
      </c>
      <c r="AJ42" s="13">
        <f t="shared" si="26"/>
        <v>29.02966427600002</v>
      </c>
      <c r="AK42" s="14">
        <f t="shared" si="27"/>
        <v>29.494496586169291</v>
      </c>
      <c r="AL42" s="15">
        <f t="shared" si="28"/>
        <v>29.958992366338901</v>
      </c>
      <c r="AQ42" s="9">
        <f t="shared" si="29"/>
        <v>9.9602276490062085</v>
      </c>
      <c r="AR42" s="10">
        <f t="shared" si="30"/>
        <v>9.1971741134845661</v>
      </c>
      <c r="AS42" s="11">
        <f t="shared" si="31"/>
        <v>9.0063847198297804</v>
      </c>
      <c r="AT42" s="12">
        <f t="shared" si="32"/>
        <v>8.720182039676585</v>
      </c>
      <c r="AU42" s="13">
        <f t="shared" si="33"/>
        <v>8.5293681867131514</v>
      </c>
      <c r="AV42" s="14">
        <f t="shared" si="34"/>
        <v>8.2431298656774885</v>
      </c>
      <c r="AW42" s="15">
        <f t="shared" si="35"/>
        <v>8.0522929477057765</v>
      </c>
      <c r="AY42" s="9">
        <f t="shared" si="36"/>
        <v>17.578451803439915</v>
      </c>
      <c r="AZ42" s="10">
        <f t="shared" si="37"/>
        <v>18.053637220973616</v>
      </c>
      <c r="BA42" s="11">
        <f t="shared" si="38"/>
        <v>18.528684595522325</v>
      </c>
      <c r="BB42" s="12">
        <f t="shared" si="39"/>
        <v>19.003589251890713</v>
      </c>
      <c r="BC42" s="13">
        <f t="shared" si="40"/>
        <v>19.47834642460225</v>
      </c>
      <c r="BD42" s="14">
        <f t="shared" si="41"/>
        <v>19.952951254207594</v>
      </c>
      <c r="BE42" s="15">
        <f t="shared" si="42"/>
        <v>20.42739878346725</v>
      </c>
      <c r="BJ42" s="9">
        <f t="shared" si="43"/>
        <v>0.22843384402773886</v>
      </c>
      <c r="BK42" s="10">
        <f t="shared" si="44"/>
        <v>-0.54361923754636965</v>
      </c>
      <c r="BL42" s="11">
        <f t="shared" si="45"/>
        <v>-0.73663177473052222</v>
      </c>
      <c r="BM42" s="12">
        <f t="shared" si="46"/>
        <v>-1.0261493744981516</v>
      </c>
      <c r="BN42" s="13">
        <f t="shared" si="47"/>
        <v>-1.2191600680114911</v>
      </c>
      <c r="BO42" s="14">
        <f t="shared" si="48"/>
        <v>-1.5086741445594403</v>
      </c>
      <c r="BP42" s="15">
        <f t="shared" si="49"/>
        <v>-1.7016819838090687</v>
      </c>
      <c r="BR42" s="9">
        <f t="shared" si="50"/>
        <v>7.9470772599689781</v>
      </c>
      <c r="BS42" s="10">
        <f t="shared" si="51"/>
        <v>8.4292424025552197</v>
      </c>
      <c r="BT42" s="11">
        <f t="shared" si="52"/>
        <v>8.9113621824743259</v>
      </c>
      <c r="BU42" s="12">
        <f t="shared" si="53"/>
        <v>9.3934338406455726</v>
      </c>
      <c r="BV42" s="13">
        <f t="shared" si="54"/>
        <v>9.8754545900000945</v>
      </c>
      <c r="BW42" s="14">
        <f t="shared" si="55"/>
        <v>10.357421613748791</v>
      </c>
      <c r="BX42" s="15">
        <f t="shared" si="56"/>
        <v>10.839332063614119</v>
      </c>
    </row>
    <row r="43" spans="1:76">
      <c r="A43">
        <f t="shared" si="57"/>
        <v>25</v>
      </c>
      <c r="B43">
        <f t="shared" si="7"/>
        <v>25</v>
      </c>
      <c r="E43" s="9">
        <f t="shared" si="58"/>
        <v>32.640167566648799</v>
      </c>
      <c r="F43" s="10">
        <f t="shared" si="59"/>
        <v>31.94645055179522</v>
      </c>
      <c r="G43" s="11">
        <f t="shared" si="60"/>
        <v>31.772750527753978</v>
      </c>
      <c r="H43" s="12">
        <f t="shared" si="61"/>
        <v>31.512002004630617</v>
      </c>
      <c r="I43" s="13">
        <f t="shared" si="62"/>
        <v>31.338038947187218</v>
      </c>
      <c r="J43" s="14">
        <f t="shared" si="63"/>
        <v>31.076901032702359</v>
      </c>
      <c r="K43" s="15">
        <f t="shared" si="64"/>
        <v>30.90268177900321</v>
      </c>
      <c r="M43" s="9">
        <f t="shared" si="8"/>
        <v>39.465056013562254</v>
      </c>
      <c r="N43" s="10">
        <f t="shared" si="9"/>
        <v>39.883624112378826</v>
      </c>
      <c r="O43" s="11">
        <f t="shared" si="10"/>
        <v>40.301094551981116</v>
      </c>
      <c r="P43" s="12">
        <f t="shared" si="11"/>
        <v>40.717437226961273</v>
      </c>
      <c r="Q43" s="13">
        <f t="shared" si="12"/>
        <v>41.132621121357708</v>
      </c>
      <c r="R43" s="14">
        <f t="shared" si="13"/>
        <v>41.546614276289013</v>
      </c>
      <c r="S43" s="15">
        <f t="shared" si="14"/>
        <v>41.959383756468036</v>
      </c>
      <c r="X43" s="9">
        <f t="shared" si="15"/>
        <v>18.402779994819909</v>
      </c>
      <c r="Y43" s="10">
        <f t="shared" si="16"/>
        <v>17.675899368341721</v>
      </c>
      <c r="Z43" s="11">
        <f t="shared" si="17"/>
        <v>17.494081318980172</v>
      </c>
      <c r="AA43" s="12">
        <f t="shared" si="18"/>
        <v>17.221282867007012</v>
      </c>
      <c r="AB43" s="13">
        <f t="shared" si="19"/>
        <v>17.039370370531394</v>
      </c>
      <c r="AC43" s="14">
        <f t="shared" si="20"/>
        <v>16.76643256281276</v>
      </c>
      <c r="AD43" s="15">
        <f t="shared" si="21"/>
        <v>16.584428693673441</v>
      </c>
      <c r="AF43" s="9">
        <f t="shared" si="22"/>
        <v>25.629880416154698</v>
      </c>
      <c r="AG43" s="10">
        <f t="shared" si="23"/>
        <v>26.078559023478444</v>
      </c>
      <c r="AH43" s="11">
        <f t="shared" si="24"/>
        <v>26.526820125797173</v>
      </c>
      <c r="AI43" s="12">
        <f t="shared" si="25"/>
        <v>26.974652112276321</v>
      </c>
      <c r="AJ43" s="13">
        <f t="shared" si="26"/>
        <v>27.422043094901149</v>
      </c>
      <c r="AK43" s="14">
        <f t="shared" si="27"/>
        <v>27.868980898469879</v>
      </c>
      <c r="AL43" s="15">
        <f t="shared" si="28"/>
        <v>28.315453050225884</v>
      </c>
      <c r="AQ43" s="9">
        <f t="shared" si="29"/>
        <v>8.8366850534397852</v>
      </c>
      <c r="AR43" s="10">
        <f t="shared" si="30"/>
        <v>8.0934698873711159</v>
      </c>
      <c r="AS43" s="11">
        <f t="shared" si="31"/>
        <v>7.9076313530299229</v>
      </c>
      <c r="AT43" s="12">
        <f t="shared" si="32"/>
        <v>7.6288488284526608</v>
      </c>
      <c r="AU43" s="13">
        <f t="shared" si="33"/>
        <v>7.4429778058111076</v>
      </c>
      <c r="AV43" s="14">
        <f t="shared" si="34"/>
        <v>7.1641480747144026</v>
      </c>
      <c r="AW43" s="15">
        <f t="shared" si="35"/>
        <v>6.978246594461921</v>
      </c>
      <c r="AY43" s="9">
        <f t="shared" si="36"/>
        <v>16.25205350299402</v>
      </c>
      <c r="AZ43" s="10">
        <f t="shared" si="37"/>
        <v>16.714199643186564</v>
      </c>
      <c r="BA43" s="11">
        <f t="shared" si="38"/>
        <v>17.176154435551499</v>
      </c>
      <c r="BB43" s="12">
        <f t="shared" si="39"/>
        <v>17.637911295275895</v>
      </c>
      <c r="BC43" s="13">
        <f t="shared" si="40"/>
        <v>18.099463522739889</v>
      </c>
      <c r="BD43" s="14">
        <f t="shared" si="41"/>
        <v>18.560804298904738</v>
      </c>
      <c r="BE43" s="15">
        <f t="shared" si="42"/>
        <v>19.02192668056065</v>
      </c>
      <c r="BJ43" s="9">
        <f t="shared" si="43"/>
        <v>-0.75206377982060724</v>
      </c>
      <c r="BK43" s="10">
        <f t="shared" si="44"/>
        <v>-1.508961549462388</v>
      </c>
      <c r="BL43" s="11">
        <f t="shared" si="45"/>
        <v>-1.6981817751419688</v>
      </c>
      <c r="BM43" s="12">
        <f t="shared" si="46"/>
        <v>-1.982007966713101</v>
      </c>
      <c r="BN43" s="13">
        <f t="shared" si="47"/>
        <v>-2.1712223092657288</v>
      </c>
      <c r="BO43" s="14">
        <f t="shared" si="48"/>
        <v>-2.4550385380549851</v>
      </c>
      <c r="BP43" s="15">
        <f t="shared" si="49"/>
        <v>-2.6442454791910479</v>
      </c>
      <c r="BR43" s="9">
        <f t="shared" si="50"/>
        <v>6.8151966625128688</v>
      </c>
      <c r="BS43" s="10">
        <f t="shared" si="51"/>
        <v>7.2878448503979048</v>
      </c>
      <c r="BT43" s="11">
        <f t="shared" si="52"/>
        <v>7.7604335933652546</v>
      </c>
      <c r="BU43" s="12">
        <f t="shared" si="53"/>
        <v>8.2329588523613051</v>
      </c>
      <c r="BV43" s="13">
        <f t="shared" si="54"/>
        <v>8.7054165533622818</v>
      </c>
      <c r="BW43" s="14">
        <f t="shared" si="55"/>
        <v>9.1778025850155647</v>
      </c>
      <c r="BX43" s="15">
        <f t="shared" si="56"/>
        <v>9.6501127962388953</v>
      </c>
    </row>
    <row r="44" spans="1:76">
      <c r="A44">
        <f t="shared" si="57"/>
        <v>30</v>
      </c>
      <c r="B44">
        <f t="shared" si="7"/>
        <v>30</v>
      </c>
      <c r="E44" s="9">
        <f t="shared" si="58"/>
        <v>30.831141486113125</v>
      </c>
      <c r="F44" s="10">
        <f t="shared" si="59"/>
        <v>30.17838244724495</v>
      </c>
      <c r="G44" s="11">
        <f t="shared" si="60"/>
        <v>30.014852372348074</v>
      </c>
      <c r="H44" s="12">
        <f t="shared" si="61"/>
        <v>29.769307441650266</v>
      </c>
      <c r="I44" s="13">
        <f t="shared" si="62"/>
        <v>29.605446187620384</v>
      </c>
      <c r="J44" s="14">
        <f t="shared" si="63"/>
        <v>29.359410597120849</v>
      </c>
      <c r="K44" s="15">
        <f t="shared" si="64"/>
        <v>29.195226266496913</v>
      </c>
      <c r="M44" s="9">
        <f t="shared" si="8"/>
        <v>37.219259402438084</v>
      </c>
      <c r="N44" s="10">
        <f t="shared" si="9"/>
        <v>37.608720323472099</v>
      </c>
      <c r="O44" s="11">
        <f t="shared" si="10"/>
        <v>37.996852358296181</v>
      </c>
      <c r="P44" s="12">
        <f t="shared" si="11"/>
        <v>38.383622549725615</v>
      </c>
      <c r="Q44" s="13">
        <f t="shared" si="12"/>
        <v>38.76899710354283</v>
      </c>
      <c r="R44" s="14">
        <f t="shared" si="13"/>
        <v>39.152941365099664</v>
      </c>
      <c r="S44" s="15">
        <f t="shared" si="14"/>
        <v>39.535419795451041</v>
      </c>
      <c r="X44" s="9">
        <f t="shared" si="15"/>
        <v>16.879895296083973</v>
      </c>
      <c r="Y44" s="10">
        <f t="shared" si="16"/>
        <v>16.182566363999392</v>
      </c>
      <c r="Z44" s="11">
        <f t="shared" si="17"/>
        <v>16.008111300982552</v>
      </c>
      <c r="AA44" s="12">
        <f t="shared" si="18"/>
        <v>15.746339174788424</v>
      </c>
      <c r="AB44" s="13">
        <f t="shared" si="19"/>
        <v>15.571765655758913</v>
      </c>
      <c r="AC44" s="14">
        <f t="shared" si="20"/>
        <v>15.309818789555733</v>
      </c>
      <c r="AD44" s="15">
        <f t="shared" si="21"/>
        <v>15.135130726364505</v>
      </c>
      <c r="AF44" s="9">
        <f t="shared" si="22"/>
        <v>23.800850702609708</v>
      </c>
      <c r="AG44" s="10">
        <f t="shared" si="23"/>
        <v>24.229633706968119</v>
      </c>
      <c r="AH44" s="11">
        <f t="shared" si="24"/>
        <v>24.657895399367426</v>
      </c>
      <c r="AI44" s="12">
        <f t="shared" si="25"/>
        <v>25.085621706751692</v>
      </c>
      <c r="AJ44" s="13">
        <f t="shared" si="26"/>
        <v>25.512798259274096</v>
      </c>
      <c r="AK44" s="14">
        <f t="shared" si="27"/>
        <v>25.939410380472474</v>
      </c>
      <c r="AL44" s="15">
        <f t="shared" si="28"/>
        <v>26.365443077148036</v>
      </c>
      <c r="AQ44" s="9">
        <f t="shared" si="29"/>
        <v>7.4855151206852799</v>
      </c>
      <c r="AR44" s="10">
        <f t="shared" si="30"/>
        <v>6.7657075159922444</v>
      </c>
      <c r="AS44" s="11">
        <f t="shared" si="31"/>
        <v>6.5857151550358264</v>
      </c>
      <c r="AT44" s="12">
        <f t="shared" si="32"/>
        <v>6.3156980350036349</v>
      </c>
      <c r="AU44" s="13">
        <f t="shared" si="33"/>
        <v>6.1356681999752611</v>
      </c>
      <c r="AV44" s="14">
        <f t="shared" si="34"/>
        <v>5.8655968925778552</v>
      </c>
      <c r="AW44" s="15">
        <f t="shared" si="35"/>
        <v>5.6855322776918538</v>
      </c>
      <c r="AY44" s="9">
        <f t="shared" si="36"/>
        <v>14.663371341143828</v>
      </c>
      <c r="AZ44" s="10">
        <f t="shared" si="37"/>
        <v>15.110374837685445</v>
      </c>
      <c r="BA44" s="11">
        <f t="shared" si="38"/>
        <v>15.557141312650652</v>
      </c>
      <c r="BB44" s="12">
        <f t="shared" si="39"/>
        <v>16.003662359282181</v>
      </c>
      <c r="BC44" s="13">
        <f t="shared" si="40"/>
        <v>16.449929442274698</v>
      </c>
      <c r="BD44" s="14">
        <f t="shared" si="41"/>
        <v>16.895933892655457</v>
      </c>
      <c r="BE44" s="15">
        <f t="shared" si="42"/>
        <v>17.341666902530672</v>
      </c>
      <c r="BJ44" s="9">
        <f t="shared" si="43"/>
        <v>-1.9354590323041574</v>
      </c>
      <c r="BK44" s="10">
        <f t="shared" si="44"/>
        <v>-2.6743465240080821</v>
      </c>
      <c r="BL44" s="11">
        <f t="shared" si="45"/>
        <v>-2.8590572423914975</v>
      </c>
      <c r="BM44" s="12">
        <f t="shared" si="46"/>
        <v>-3.1361136010809085</v>
      </c>
      <c r="BN44" s="13">
        <f t="shared" si="47"/>
        <v>-3.3208108741504194</v>
      </c>
      <c r="BO44" s="14">
        <f t="shared" si="48"/>
        <v>-3.5978454987274051</v>
      </c>
      <c r="BP44" s="15">
        <f t="shared" si="49"/>
        <v>-3.7825272365674527</v>
      </c>
      <c r="BR44" s="9">
        <f t="shared" si="50"/>
        <v>5.4529692177376452</v>
      </c>
      <c r="BS44" s="10">
        <f t="shared" si="51"/>
        <v>5.9144451003930669</v>
      </c>
      <c r="BT44" s="11">
        <f t="shared" si="52"/>
        <v>6.3758539548213369</v>
      </c>
      <c r="BU44" s="12">
        <f t="shared" si="53"/>
        <v>6.837190384556326</v>
      </c>
      <c r="BV44" s="13">
        <f t="shared" si="54"/>
        <v>7.2984489557038073</v>
      </c>
      <c r="BW44" s="14">
        <f t="shared" si="55"/>
        <v>7.7596241940389374</v>
      </c>
      <c r="BX44" s="15">
        <f t="shared" si="56"/>
        <v>8.2207105820623436</v>
      </c>
    </row>
    <row r="45" spans="1:76">
      <c r="A45">
        <f t="shared" si="57"/>
        <v>35</v>
      </c>
      <c r="B45">
        <f t="shared" si="7"/>
        <v>35</v>
      </c>
      <c r="E45" s="9">
        <f t="shared" si="58"/>
        <v>28.768027903104478</v>
      </c>
      <c r="F45" s="10">
        <f t="shared" si="59"/>
        <v>28.160061026814461</v>
      </c>
      <c r="G45" s="11">
        <f t="shared" si="60"/>
        <v>28.007673217036306</v>
      </c>
      <c r="H45" s="12">
        <f t="shared" si="61"/>
        <v>27.77880032951888</v>
      </c>
      <c r="I45" s="13">
        <f t="shared" si="62"/>
        <v>27.626026375065866</v>
      </c>
      <c r="J45" s="14">
        <f t="shared" si="63"/>
        <v>27.396580940724132</v>
      </c>
      <c r="K45" s="15">
        <f t="shared" si="64"/>
        <v>27.243429695587633</v>
      </c>
      <c r="M45" s="9">
        <f t="shared" si="8"/>
        <v>34.687238077652957</v>
      </c>
      <c r="N45" s="10">
        <f t="shared" si="9"/>
        <v>35.046058035991344</v>
      </c>
      <c r="O45" s="11">
        <f t="shared" si="10"/>
        <v>35.403387141933329</v>
      </c>
      <c r="P45" s="12">
        <f t="shared" si="11"/>
        <v>35.759192167382459</v>
      </c>
      <c r="Q45" s="13">
        <f t="shared" si="12"/>
        <v>36.113439197685977</v>
      </c>
      <c r="R45" s="14">
        <f t="shared" si="13"/>
        <v>36.466093617714975</v>
      </c>
      <c r="S45" s="15">
        <f t="shared" si="14"/>
        <v>36.817120097934357</v>
      </c>
      <c r="X45" s="9">
        <f t="shared" si="15"/>
        <v>15.123088334082542</v>
      </c>
      <c r="Y45" s="10">
        <f t="shared" si="16"/>
        <v>14.458926277182503</v>
      </c>
      <c r="Z45" s="11">
        <f t="shared" si="17"/>
        <v>14.292744440352248</v>
      </c>
      <c r="AA45" s="12">
        <f t="shared" si="18"/>
        <v>14.043368751702555</v>
      </c>
      <c r="AB45" s="13">
        <f t="shared" si="19"/>
        <v>13.877050757774223</v>
      </c>
      <c r="AC45" s="14">
        <f t="shared" si="20"/>
        <v>13.627474317141399</v>
      </c>
      <c r="AD45" s="15">
        <f t="shared" si="21"/>
        <v>13.461024797493165</v>
      </c>
      <c r="AF45" s="9">
        <f t="shared" si="22"/>
        <v>21.704348069371253</v>
      </c>
      <c r="AG45" s="10">
        <f t="shared" si="23"/>
        <v>22.111321281193021</v>
      </c>
      <c r="AH45" s="11">
        <f t="shared" si="24"/>
        <v>22.51769446086174</v>
      </c>
      <c r="AI45" s="12">
        <f t="shared" si="25"/>
        <v>22.923451793999327</v>
      </c>
      <c r="AJ45" s="13">
        <f t="shared" si="26"/>
        <v>23.328577179139636</v>
      </c>
      <c r="AK45" s="14">
        <f t="shared" si="27"/>
        <v>23.733054219048583</v>
      </c>
      <c r="AL45" s="15">
        <f t="shared" si="28"/>
        <v>24.13686621183772</v>
      </c>
      <c r="AQ45" s="9">
        <f t="shared" si="29"/>
        <v>5.9184693768012036</v>
      </c>
      <c r="AR45" s="10">
        <f t="shared" si="30"/>
        <v>5.2252306407644786</v>
      </c>
      <c r="AS45" s="11">
        <f t="shared" si="31"/>
        <v>5.0518798943562455</v>
      </c>
      <c r="AT45" s="12">
        <f t="shared" si="32"/>
        <v>4.7918251670625658</v>
      </c>
      <c r="AU45" s="13">
        <f t="shared" si="33"/>
        <v>4.6184370598945286</v>
      </c>
      <c r="AV45" s="14">
        <f t="shared" si="34"/>
        <v>4.3583288044174457</v>
      </c>
      <c r="AW45" s="15">
        <f t="shared" si="35"/>
        <v>4.1849066834071724</v>
      </c>
      <c r="AY45" s="9">
        <f t="shared" si="36"/>
        <v>12.829061721271572</v>
      </c>
      <c r="AZ45" s="10">
        <f t="shared" si="37"/>
        <v>13.259181494090354</v>
      </c>
      <c r="BA45" s="11">
        <f t="shared" si="38"/>
        <v>13.689033478489964</v>
      </c>
      <c r="BB45" s="12">
        <f t="shared" si="39"/>
        <v>14.118607662024107</v>
      </c>
      <c r="BC45" s="13">
        <f t="shared" si="40"/>
        <v>14.547893902614584</v>
      </c>
      <c r="BD45" s="14">
        <f t="shared" si="41"/>
        <v>14.97688192333268</v>
      </c>
      <c r="BE45" s="15">
        <f t="shared" si="42"/>
        <v>15.405561307067911</v>
      </c>
      <c r="BJ45" s="9">
        <f t="shared" si="43"/>
        <v>-3.3135561535074038</v>
      </c>
      <c r="BK45" s="10">
        <f t="shared" si="44"/>
        <v>-4.031839782804739</v>
      </c>
      <c r="BL45" s="11">
        <f t="shared" si="45"/>
        <v>-4.2113878970777607</v>
      </c>
      <c r="BM45" s="12">
        <f t="shared" si="46"/>
        <v>-4.4806912238676615</v>
      </c>
      <c r="BN45" s="13">
        <f t="shared" si="47"/>
        <v>-4.6602135817779367</v>
      </c>
      <c r="BO45" s="14">
        <f t="shared" si="48"/>
        <v>-4.929476245828579</v>
      </c>
      <c r="BP45" s="15">
        <f t="shared" si="49"/>
        <v>-5.1089701400765604</v>
      </c>
      <c r="BR45" s="9">
        <f t="shared" si="50"/>
        <v>3.8716852314928545</v>
      </c>
      <c r="BS45" s="10">
        <f t="shared" si="51"/>
        <v>4.3205587349453323</v>
      </c>
      <c r="BT45" s="11">
        <f t="shared" si="52"/>
        <v>4.7693682297359183</v>
      </c>
      <c r="BU45" s="12">
        <f t="shared" si="53"/>
        <v>5.2181069493439489</v>
      </c>
      <c r="BV45" s="13">
        <f t="shared" si="54"/>
        <v>5.6667680932155937</v>
      </c>
      <c r="BW45" s="14">
        <f t="shared" si="55"/>
        <v>6.1153448234340484</v>
      </c>
      <c r="BX45" s="15">
        <f t="shared" si="56"/>
        <v>6.5638302613553634</v>
      </c>
    </row>
    <row r="46" spans="1:76">
      <c r="A46">
        <f t="shared" si="57"/>
        <v>40</v>
      </c>
      <c r="B46">
        <f t="shared" si="7"/>
        <v>40</v>
      </c>
      <c r="E46" s="9">
        <f t="shared" si="58"/>
        <v>26.478624569944216</v>
      </c>
      <c r="F46" s="10">
        <f t="shared" si="59"/>
        <v>25.918232479145107</v>
      </c>
      <c r="G46" s="11">
        <f t="shared" si="60"/>
        <v>25.777700809663543</v>
      </c>
      <c r="H46" s="12">
        <f t="shared" si="61"/>
        <v>25.566584095763368</v>
      </c>
      <c r="I46" s="13">
        <f t="shared" si="62"/>
        <v>25.425628950821633</v>
      </c>
      <c r="J46" s="14">
        <f t="shared" si="63"/>
        <v>25.213883865343277</v>
      </c>
      <c r="K46" s="15">
        <f t="shared" si="64"/>
        <v>25.072514333723547</v>
      </c>
      <c r="M46" s="9">
        <f t="shared" si="8"/>
        <v>31.908779297803008</v>
      </c>
      <c r="N46" s="10">
        <f t="shared" si="9"/>
        <v>32.236250338431105</v>
      </c>
      <c r="O46" s="11">
        <f t="shared" si="10"/>
        <v>32.562144400745694</v>
      </c>
      <c r="P46" s="12">
        <f t="shared" si="11"/>
        <v>32.886429962882332</v>
      </c>
      <c r="Q46" s="13">
        <f t="shared" si="12"/>
        <v>33.209074992552623</v>
      </c>
      <c r="R46" s="14">
        <f t="shared" si="13"/>
        <v>33.530046940632111</v>
      </c>
      <c r="S46" s="15">
        <f t="shared" si="14"/>
        <v>33.849312734958929</v>
      </c>
      <c r="X46" s="9">
        <f t="shared" si="15"/>
        <v>13.149971936146938</v>
      </c>
      <c r="Y46" s="10">
        <f t="shared" si="16"/>
        <v>12.521979683871526</v>
      </c>
      <c r="Z46" s="11">
        <f t="shared" si="17"/>
        <v>12.364831106320461</v>
      </c>
      <c r="AA46" s="12">
        <f t="shared" si="18"/>
        <v>12.128998774179435</v>
      </c>
      <c r="AB46" s="13">
        <f t="shared" si="19"/>
        <v>11.971705460385714</v>
      </c>
      <c r="AC46" s="14">
        <f t="shared" si="20"/>
        <v>11.73565992884607</v>
      </c>
      <c r="AD46" s="15">
        <f t="shared" si="21"/>
        <v>11.578227073173515</v>
      </c>
      <c r="AF46" s="9">
        <f t="shared" si="22"/>
        <v>19.365186298773903</v>
      </c>
      <c r="AG46" s="10">
        <f t="shared" si="23"/>
        <v>19.748954583940908</v>
      </c>
      <c r="AH46" s="11">
        <f t="shared" si="24"/>
        <v>20.132077654156973</v>
      </c>
      <c r="AI46" s="12">
        <f t="shared" si="25"/>
        <v>20.514538706069345</v>
      </c>
      <c r="AJ46" s="13">
        <f t="shared" si="26"/>
        <v>20.896320681539333</v>
      </c>
      <c r="AK46" s="14">
        <f t="shared" si="27"/>
        <v>21.277406260570995</v>
      </c>
      <c r="AL46" s="15">
        <f t="shared" si="28"/>
        <v>21.657777854119836</v>
      </c>
      <c r="AQ46" s="9">
        <f t="shared" si="29"/>
        <v>4.1482947846727454</v>
      </c>
      <c r="AR46" s="10">
        <f t="shared" si="30"/>
        <v>3.4843740057637307</v>
      </c>
      <c r="AS46" s="11">
        <f t="shared" si="31"/>
        <v>3.3183591647230259</v>
      </c>
      <c r="AT46" s="12">
        <f t="shared" si="32"/>
        <v>3.0693135032650272</v>
      </c>
      <c r="AU46" s="13">
        <f t="shared" si="33"/>
        <v>2.9032683880161416</v>
      </c>
      <c r="AV46" s="14">
        <f t="shared" si="34"/>
        <v>2.6541802882367338</v>
      </c>
      <c r="AW46" s="15">
        <f t="shared" si="35"/>
        <v>2.4881088601414065</v>
      </c>
      <c r="AY46" s="9">
        <f t="shared" si="36"/>
        <v>10.766722206566721</v>
      </c>
      <c r="AZ46" s="10">
        <f t="shared" si="37"/>
        <v>11.178567921802973</v>
      </c>
      <c r="BA46" s="11">
        <f t="shared" si="38"/>
        <v>11.59013599233805</v>
      </c>
      <c r="BB46" s="12">
        <f t="shared" si="39"/>
        <v>12.001415082029132</v>
      </c>
      <c r="BC46" s="13">
        <f t="shared" si="40"/>
        <v>12.412393736000801</v>
      </c>
      <c r="BD46" s="14">
        <f t="shared" si="41"/>
        <v>12.823060375640974</v>
      </c>
      <c r="BE46" s="15">
        <f t="shared" si="42"/>
        <v>13.233403293513541</v>
      </c>
      <c r="BJ46" s="9">
        <f t="shared" si="43"/>
        <v>-4.8773087965337885</v>
      </c>
      <c r="BK46" s="10">
        <f t="shared" si="44"/>
        <v>-5.572668377109653</v>
      </c>
      <c r="BL46" s="11">
        <f t="shared" si="45"/>
        <v>-5.7464679200829467</v>
      </c>
      <c r="BM46" s="12">
        <f t="shared" si="46"/>
        <v>-6.007134804896344</v>
      </c>
      <c r="BN46" s="13">
        <f t="shared" si="47"/>
        <v>-6.1808903276468401</v>
      </c>
      <c r="BO46" s="14">
        <f t="shared" si="48"/>
        <v>-6.4414886687280948</v>
      </c>
      <c r="BP46" s="15">
        <f t="shared" si="49"/>
        <v>-6.6151968152775487</v>
      </c>
      <c r="BR46" s="9">
        <f t="shared" si="50"/>
        <v>2.0835859947644484</v>
      </c>
      <c r="BS46" s="10">
        <f t="shared" si="51"/>
        <v>2.5186566031449744</v>
      </c>
      <c r="BT46" s="11">
        <f t="shared" si="52"/>
        <v>2.9536805840334122</v>
      </c>
      <c r="BU46" s="12">
        <f t="shared" si="53"/>
        <v>3.3886498309569522</v>
      </c>
      <c r="BV46" s="13">
        <f t="shared" si="54"/>
        <v>3.8235562131217851</v>
      </c>
      <c r="BW46" s="14">
        <f t="shared" si="55"/>
        <v>4.2583915717753085</v>
      </c>
      <c r="BX46" s="15">
        <f t="shared" si="56"/>
        <v>4.6931477165456128</v>
      </c>
    </row>
    <row r="47" spans="1:76">
      <c r="A47">
        <f t="shared" si="57"/>
        <v>45</v>
      </c>
      <c r="B47">
        <f t="shared" si="7"/>
        <v>45</v>
      </c>
      <c r="E47" s="9">
        <f t="shared" si="58"/>
        <v>23.989986862945813</v>
      </c>
      <c r="F47" s="10">
        <f t="shared" si="59"/>
        <v>23.479075574339447</v>
      </c>
      <c r="G47" s="11">
        <f t="shared" si="60"/>
        <v>23.350896960885908</v>
      </c>
      <c r="H47" s="12">
        <f t="shared" si="61"/>
        <v>23.158296807670474</v>
      </c>
      <c r="I47" s="13">
        <f t="shared" si="62"/>
        <v>23.029677301072624</v>
      </c>
      <c r="J47" s="14">
        <f t="shared" si="63"/>
        <v>22.836422485419682</v>
      </c>
      <c r="K47" s="15">
        <f t="shared" si="64"/>
        <v>22.707370963088032</v>
      </c>
      <c r="M47" s="9">
        <f t="shared" si="8"/>
        <v>28.920222726524134</v>
      </c>
      <c r="N47" s="10">
        <f t="shared" si="9"/>
        <v>29.216226300434517</v>
      </c>
      <c r="O47" s="11">
        <f t="shared" si="10"/>
        <v>29.510640308940459</v>
      </c>
      <c r="P47" s="12">
        <f t="shared" si="11"/>
        <v>29.803436194608931</v>
      </c>
      <c r="Q47" s="13">
        <f t="shared" si="12"/>
        <v>30.094585055088803</v>
      </c>
      <c r="R47" s="14">
        <f t="shared" si="13"/>
        <v>30.384057641528614</v>
      </c>
      <c r="S47" s="15">
        <f t="shared" si="14"/>
        <v>30.671824357254653</v>
      </c>
      <c r="X47" s="9">
        <f t="shared" si="15"/>
        <v>10.978582655367353</v>
      </c>
      <c r="Y47" s="10">
        <f t="shared" si="16"/>
        <v>10.389199570822992</v>
      </c>
      <c r="Z47" s="11">
        <f t="shared" si="17"/>
        <v>10.241705508084266</v>
      </c>
      <c r="AA47" s="12">
        <f t="shared" si="18"/>
        <v>10.020356863938096</v>
      </c>
      <c r="AB47" s="13">
        <f t="shared" si="19"/>
        <v>9.8727207102659449</v>
      </c>
      <c r="AC47" s="14">
        <f t="shared" si="20"/>
        <v>9.6511631288921489</v>
      </c>
      <c r="AD47" s="15">
        <f t="shared" si="21"/>
        <v>9.5033904731260037</v>
      </c>
      <c r="AF47" s="9">
        <f t="shared" si="22"/>
        <v>16.807786682174896</v>
      </c>
      <c r="AG47" s="10">
        <f t="shared" si="23"/>
        <v>17.167398191058574</v>
      </c>
      <c r="AH47" s="11">
        <f t="shared" si="24"/>
        <v>17.526357748469437</v>
      </c>
      <c r="AI47" s="12">
        <f t="shared" si="25"/>
        <v>17.884648229213507</v>
      </c>
      <c r="AJ47" s="13">
        <f t="shared" si="26"/>
        <v>18.242252299158771</v>
      </c>
      <c r="AK47" s="14">
        <f t="shared" si="27"/>
        <v>18.599152409810106</v>
      </c>
      <c r="AL47" s="15">
        <f t="shared" si="28"/>
        <v>18.955330792830527</v>
      </c>
      <c r="AQ47" s="9">
        <f t="shared" si="29"/>
        <v>2.1883556859699449</v>
      </c>
      <c r="AR47" s="10">
        <f t="shared" si="30"/>
        <v>1.5561048617049105</v>
      </c>
      <c r="AS47" s="11">
        <f t="shared" si="31"/>
        <v>1.3980225502548449</v>
      </c>
      <c r="AT47" s="12">
        <f t="shared" si="32"/>
        <v>1.1608873223687768</v>
      </c>
      <c r="AU47" s="13">
        <f t="shared" si="33"/>
        <v>1.0027903855193967</v>
      </c>
      <c r="AV47" s="14">
        <f t="shared" si="34"/>
        <v>0.76563661142161954</v>
      </c>
      <c r="AW47" s="15">
        <f t="shared" si="35"/>
        <v>0.60752957067288249</v>
      </c>
      <c r="AY47" s="9">
        <f t="shared" si="36"/>
        <v>8.4942813036422198</v>
      </c>
      <c r="AZ47" s="10">
        <f t="shared" si="37"/>
        <v>8.8867850874145073</v>
      </c>
      <c r="BA47" s="11">
        <f t="shared" si="38"/>
        <v>9.2790267657755479</v>
      </c>
      <c r="BB47" s="12">
        <f t="shared" si="39"/>
        <v>9.6709939694367204</v>
      </c>
      <c r="BC47" s="13">
        <f t="shared" si="40"/>
        <v>10.062674230839873</v>
      </c>
      <c r="BD47" s="14">
        <f t="shared" si="41"/>
        <v>10.454054979555831</v>
      </c>
      <c r="BE47" s="15">
        <f t="shared" si="42"/>
        <v>10.845123537629213</v>
      </c>
      <c r="BJ47" s="9">
        <f t="shared" si="43"/>
        <v>-6.6170537732513219</v>
      </c>
      <c r="BK47" s="10">
        <f t="shared" si="44"/>
        <v>-7.2874430753390902</v>
      </c>
      <c r="BL47" s="11">
        <f t="shared" si="45"/>
        <v>-7.4549754343571113</v>
      </c>
      <c r="BM47" s="12">
        <f t="shared" si="46"/>
        <v>-7.7062226542332901</v>
      </c>
      <c r="BN47" s="13">
        <f t="shared" si="47"/>
        <v>-7.8736856523890442</v>
      </c>
      <c r="BO47" s="14">
        <f t="shared" si="48"/>
        <v>-8.1248258165758251</v>
      </c>
      <c r="BP47" s="15">
        <f t="shared" si="49"/>
        <v>-8.292215427762061</v>
      </c>
      <c r="BR47" s="9">
        <f t="shared" si="50"/>
        <v>0.10149273184837261</v>
      </c>
      <c r="BS47" s="10">
        <f t="shared" si="51"/>
        <v>0.52178369036065064</v>
      </c>
      <c r="BT47" s="11">
        <f t="shared" si="52"/>
        <v>0.94206298813651668</v>
      </c>
      <c r="BU47" s="12">
        <f t="shared" si="53"/>
        <v>1.3623212275812939</v>
      </c>
      <c r="BV47" s="13">
        <f t="shared" si="54"/>
        <v>1.7825490025028161</v>
      </c>
      <c r="BW47" s="14">
        <f t="shared" si="55"/>
        <v>2.2027368942677805</v>
      </c>
      <c r="BX47" s="15">
        <f t="shared" si="56"/>
        <v>2.6228754679493136</v>
      </c>
    </row>
    <row r="48" spans="1:76">
      <c r="A48">
        <f t="shared" si="57"/>
        <v>50</v>
      </c>
      <c r="B48">
        <f t="shared" si="7"/>
        <v>50</v>
      </c>
      <c r="E48" s="9">
        <f t="shared" si="58"/>
        <v>21.327774413268216</v>
      </c>
      <c r="F48" s="10">
        <f t="shared" si="59"/>
        <v>20.867558684451847</v>
      </c>
      <c r="G48" s="11">
        <f t="shared" si="60"/>
        <v>20.752057587841804</v>
      </c>
      <c r="H48" s="12">
        <f t="shared" si="61"/>
        <v>20.57847604400861</v>
      </c>
      <c r="I48" s="13">
        <f t="shared" si="62"/>
        <v>20.462537033847124</v>
      </c>
      <c r="J48" s="14">
        <f t="shared" si="63"/>
        <v>20.288304877618589</v>
      </c>
      <c r="K48" s="15">
        <f t="shared" si="64"/>
        <v>20.17193628000917</v>
      </c>
      <c r="M48" s="9">
        <f t="shared" si="8"/>
        <v>25.75395945188794</v>
      </c>
      <c r="N48" s="10">
        <f t="shared" si="9"/>
        <v>26.018763030996279</v>
      </c>
      <c r="O48" s="11">
        <f t="shared" si="10"/>
        <v>26.282030650619529</v>
      </c>
      <c r="P48" s="12">
        <f t="shared" si="11"/>
        <v>26.543737340394699</v>
      </c>
      <c r="Q48" s="13">
        <f t="shared" si="12"/>
        <v>26.803857921134128</v>
      </c>
      <c r="R48" s="14">
        <f t="shared" si="13"/>
        <v>27.062367005753455</v>
      </c>
      <c r="S48" s="15">
        <f t="shared" si="14"/>
        <v>27.319239000422165</v>
      </c>
      <c r="X48" s="9">
        <f t="shared" si="15"/>
        <v>8.6269048270011091</v>
      </c>
      <c r="Y48" s="10">
        <f t="shared" si="16"/>
        <v>8.0780752232558317</v>
      </c>
      <c r="Z48" s="11">
        <f t="shared" si="17"/>
        <v>7.9407345249568673</v>
      </c>
      <c r="AA48" s="12">
        <f t="shared" si="18"/>
        <v>7.7346273158682788</v>
      </c>
      <c r="AB48" s="13">
        <f t="shared" si="19"/>
        <v>7.5971597644975359</v>
      </c>
      <c r="AC48" s="14">
        <f t="shared" si="20"/>
        <v>7.3908666487512065</v>
      </c>
      <c r="AD48" s="15">
        <f t="shared" si="21"/>
        <v>7.2532780675839001</v>
      </c>
      <c r="AF48" s="9">
        <f t="shared" si="22"/>
        <v>14.055518451068554</v>
      </c>
      <c r="AG48" s="10">
        <f t="shared" si="23"/>
        <v>14.390379943258154</v>
      </c>
      <c r="AH48" s="11">
        <f t="shared" si="24"/>
        <v>14.724623115722983</v>
      </c>
      <c r="AI48" s="12">
        <f t="shared" si="25"/>
        <v>15.058231040196512</v>
      </c>
      <c r="AJ48" s="13">
        <f t="shared" si="26"/>
        <v>15.391186630260496</v>
      </c>
      <c r="AK48" s="14">
        <f t="shared" si="27"/>
        <v>15.723472637344289</v>
      </c>
      <c r="AL48" s="15">
        <f t="shared" si="28"/>
        <v>16.055071646712694</v>
      </c>
      <c r="AQ48" s="9">
        <f t="shared" si="29"/>
        <v>5.229896670872769E-2</v>
      </c>
      <c r="AR48" s="10">
        <f t="shared" si="30"/>
        <v>-0.54629658971415584</v>
      </c>
      <c r="AS48" s="11">
        <f t="shared" si="31"/>
        <v>-0.69594016054351837</v>
      </c>
      <c r="AT48" s="12">
        <f t="shared" si="32"/>
        <v>-0.92039826670539482</v>
      </c>
      <c r="AU48" s="13">
        <f t="shared" si="33"/>
        <v>-1.0700309995494341</v>
      </c>
      <c r="AV48" s="14">
        <f t="shared" si="34"/>
        <v>-1.2944690833855637</v>
      </c>
      <c r="AW48" s="15">
        <f t="shared" si="35"/>
        <v>-1.4440859568224953</v>
      </c>
      <c r="AY48" s="9">
        <f t="shared" si="36"/>
        <v>6.0294977033059238</v>
      </c>
      <c r="AZ48" s="10">
        <f t="shared" si="37"/>
        <v>6.4018750935596174</v>
      </c>
      <c r="BA48" s="11">
        <f t="shared" si="38"/>
        <v>6.7740342971753069</v>
      </c>
      <c r="BB48" s="12">
        <f t="shared" si="39"/>
        <v>7.1459621678326686</v>
      </c>
      <c r="BC48" s="13">
        <f t="shared" si="40"/>
        <v>7.5176454877205572</v>
      </c>
      <c r="BD48" s="14">
        <f t="shared" si="41"/>
        <v>7.8890709634150822</v>
      </c>
      <c r="BE48" s="15">
        <f t="shared" si="42"/>
        <v>8.2602252217288132</v>
      </c>
      <c r="BJ48" s="9">
        <f t="shared" si="43"/>
        <v>-8.5227315228944391</v>
      </c>
      <c r="BK48" s="10">
        <f t="shared" si="44"/>
        <v>-9.1663688871390718</v>
      </c>
      <c r="BL48" s="11">
        <f t="shared" si="45"/>
        <v>-9.3271805798089495</v>
      </c>
      <c r="BM48" s="12">
        <f t="shared" si="46"/>
        <v>-9.5683218509800447</v>
      </c>
      <c r="BN48" s="13">
        <f t="shared" si="47"/>
        <v>-9.7290307582587463</v>
      </c>
      <c r="BO48" s="14">
        <f t="shared" si="48"/>
        <v>-9.970014323948698</v>
      </c>
      <c r="BP48" s="15">
        <f t="shared" si="49"/>
        <v>-10.130615733294258</v>
      </c>
      <c r="BR48" s="9">
        <f t="shared" si="50"/>
        <v>-2.0615262463878485</v>
      </c>
      <c r="BS48" s="10">
        <f t="shared" si="51"/>
        <v>-1.6567815071409639</v>
      </c>
      <c r="BT48" s="11">
        <f t="shared" si="52"/>
        <v>-1.2519932694602989</v>
      </c>
      <c r="BU48" s="12">
        <f t="shared" si="53"/>
        <v>-0.84717217669184464</v>
      </c>
      <c r="BV48" s="13">
        <f t="shared" si="54"/>
        <v>-0.44232885991436566</v>
      </c>
      <c r="BW48" s="14">
        <f t="shared" si="55"/>
        <v>-3.7473941910385063E-2</v>
      </c>
      <c r="BX48" s="15">
        <f t="shared" si="56"/>
        <v>0.36738195886778918</v>
      </c>
    </row>
    <row r="49" spans="1:76">
      <c r="A49">
        <f t="shared" si="57"/>
        <v>55</v>
      </c>
      <c r="B49">
        <f t="shared" si="7"/>
        <v>55</v>
      </c>
      <c r="E49" s="9">
        <f t="shared" si="58"/>
        <v>18.515895945672305</v>
      </c>
      <c r="F49" s="10">
        <f t="shared" si="59"/>
        <v>18.107074861374251</v>
      </c>
      <c r="G49" s="11">
        <f t="shared" si="60"/>
        <v>18.004445870747595</v>
      </c>
      <c r="H49" s="12">
        <f t="shared" si="61"/>
        <v>17.850189538438638</v>
      </c>
      <c r="I49" s="13">
        <f t="shared" si="62"/>
        <v>17.74714518562234</v>
      </c>
      <c r="J49" s="14">
        <f t="shared" si="63"/>
        <v>17.592271478075478</v>
      </c>
      <c r="K49" s="15">
        <f t="shared" si="64"/>
        <v>17.48881930956631</v>
      </c>
      <c r="M49" s="9">
        <f t="shared" si="8"/>
        <v>22.438430378457689</v>
      </c>
      <c r="N49" s="10">
        <f t="shared" si="9"/>
        <v>22.67252642007012</v>
      </c>
      <c r="O49" s="11">
        <f t="shared" si="10"/>
        <v>22.905196831167714</v>
      </c>
      <c r="P49" s="12">
        <f t="shared" si="11"/>
        <v>23.136420378827115</v>
      </c>
      <c r="Q49" s="13">
        <f t="shared" si="12"/>
        <v>23.366175722439863</v>
      </c>
      <c r="R49" s="14">
        <f t="shared" si="13"/>
        <v>23.594441415559626</v>
      </c>
      <c r="S49" s="15">
        <f t="shared" si="14"/>
        <v>23.821195907908283</v>
      </c>
      <c r="X49" s="9">
        <f t="shared" si="15"/>
        <v>6.1125129610132172</v>
      </c>
      <c r="Y49" s="10">
        <f t="shared" si="16"/>
        <v>5.6057652982595645</v>
      </c>
      <c r="Z49" s="11">
        <f t="shared" si="17"/>
        <v>5.4789735210672346</v>
      </c>
      <c r="AA49" s="12">
        <f t="shared" si="18"/>
        <v>5.2887110723893036</v>
      </c>
      <c r="AB49" s="13">
        <f t="shared" si="19"/>
        <v>5.1618209679180644</v>
      </c>
      <c r="AC49" s="14">
        <f t="shared" si="20"/>
        <v>4.9714154705485685</v>
      </c>
      <c r="AD49" s="15">
        <f t="shared" si="21"/>
        <v>4.8444329572799925</v>
      </c>
      <c r="AF49" s="9">
        <f t="shared" si="22"/>
        <v>11.130281885449987</v>
      </c>
      <c r="AG49" s="10">
        <f t="shared" si="23"/>
        <v>11.440074928872317</v>
      </c>
      <c r="AH49" s="11">
        <f t="shared" si="24"/>
        <v>11.749323360277034</v>
      </c>
      <c r="AI49" s="12">
        <f t="shared" si="25"/>
        <v>12.058010801238709</v>
      </c>
      <c r="AJ49" s="13">
        <f t="shared" si="26"/>
        <v>12.366120764195115</v>
      </c>
      <c r="AK49" s="14">
        <f t="shared" si="27"/>
        <v>12.673636649553861</v>
      </c>
      <c r="AL49" s="15">
        <f t="shared" si="28"/>
        <v>12.980541742808862</v>
      </c>
      <c r="AQ49" s="9">
        <f t="shared" si="29"/>
        <v>-2.2462253101057397</v>
      </c>
      <c r="AR49" s="10">
        <f t="shared" si="30"/>
        <v>-2.8095056765190662</v>
      </c>
      <c r="AS49" s="11">
        <f t="shared" si="31"/>
        <v>-2.950284736972383</v>
      </c>
      <c r="AT49" s="12">
        <f t="shared" si="32"/>
        <v>-3.1614190135016407</v>
      </c>
      <c r="AU49" s="13">
        <f t="shared" si="33"/>
        <v>-3.3021510486428864</v>
      </c>
      <c r="AV49" s="14">
        <f t="shared" si="34"/>
        <v>-3.5132106925005417</v>
      </c>
      <c r="AW49" s="15">
        <f t="shared" si="35"/>
        <v>-3.65389023965685</v>
      </c>
      <c r="AY49" s="9">
        <f t="shared" si="36"/>
        <v>3.3895785062173531</v>
      </c>
      <c r="AZ49" s="10">
        <f t="shared" si="37"/>
        <v>3.7412839838257086</v>
      </c>
      <c r="BA49" s="11">
        <f t="shared" si="38"/>
        <v>4.0928452544791778</v>
      </c>
      <c r="BB49" s="12">
        <f t="shared" si="39"/>
        <v>4.4442485904524878</v>
      </c>
      <c r="BC49" s="13">
        <f t="shared" si="40"/>
        <v>4.7954802222834072</v>
      </c>
      <c r="BD49" s="14">
        <f t="shared" si="41"/>
        <v>5.1465263351358796</v>
      </c>
      <c r="BE49" s="15">
        <f t="shared" si="42"/>
        <v>5.4973730651519155</v>
      </c>
      <c r="BJ49" s="9">
        <f t="shared" si="43"/>
        <v>-10.584084544867764</v>
      </c>
      <c r="BK49" s="10">
        <f t="shared" si="44"/>
        <v>-11.199435404759569</v>
      </c>
      <c r="BL49" s="11">
        <f t="shared" si="45"/>
        <v>-11.353133846608472</v>
      </c>
      <c r="BM49" s="12">
        <f t="shared" si="46"/>
        <v>-11.58357357597809</v>
      </c>
      <c r="BN49" s="13">
        <f t="shared" si="47"/>
        <v>-11.737126849258059</v>
      </c>
      <c r="BO49" s="14">
        <f t="shared" si="48"/>
        <v>-11.96734477408404</v>
      </c>
      <c r="BP49" s="15">
        <f t="shared" si="49"/>
        <v>-12.120747464575444</v>
      </c>
      <c r="BR49" s="9">
        <f t="shared" si="50"/>
        <v>-4.3924383956120518</v>
      </c>
      <c r="BS49" s="10">
        <f t="shared" si="51"/>
        <v>-4.0038151883050759</v>
      </c>
      <c r="BT49" s="11">
        <f t="shared" si="52"/>
        <v>-3.6150711305569376</v>
      </c>
      <c r="BU49" s="12">
        <f t="shared" si="53"/>
        <v>-3.2262180875470383</v>
      </c>
      <c r="BV49" s="13">
        <f t="shared" si="54"/>
        <v>-2.8372678873846415</v>
      </c>
      <c r="BW49" s="14">
        <f t="shared" si="55"/>
        <v>-2.4482323251471869</v>
      </c>
      <c r="BX49" s="15">
        <f t="shared" si="56"/>
        <v>-2.0591231669022076</v>
      </c>
    </row>
    <row r="50" spans="1:76">
      <c r="A50">
        <f t="shared" si="57"/>
        <v>60</v>
      </c>
      <c r="B50">
        <f t="shared" si="7"/>
        <v>60</v>
      </c>
      <c r="E50" s="9">
        <f t="shared" si="58"/>
        <v>15.576386235933873</v>
      </c>
      <c r="F50" s="10">
        <f t="shared" si="59"/>
        <v>15.21929795310346</v>
      </c>
      <c r="G50" s="11">
        <f t="shared" si="60"/>
        <v>15.129643639999239</v>
      </c>
      <c r="H50" s="12">
        <f t="shared" si="61"/>
        <v>14.994879820998429</v>
      </c>
      <c r="I50" s="13">
        <f t="shared" si="62"/>
        <v>14.904850593260042</v>
      </c>
      <c r="J50" s="14">
        <f t="shared" si="63"/>
        <v>14.769529383499814</v>
      </c>
      <c r="K50" s="15">
        <f t="shared" si="64"/>
        <v>14.679131877259417</v>
      </c>
      <c r="M50" s="9">
        <f t="shared" si="8"/>
        <v>18.998419654338587</v>
      </c>
      <c r="N50" s="10">
        <f t="shared" si="9"/>
        <v>19.202405176189703</v>
      </c>
      <c r="O50" s="11">
        <f t="shared" si="10"/>
        <v>19.405122391723744</v>
      </c>
      <c r="P50" s="12">
        <f t="shared" si="11"/>
        <v>19.606553652760628</v>
      </c>
      <c r="Q50" s="13">
        <f t="shared" si="12"/>
        <v>19.806681271784701</v>
      </c>
      <c r="R50" s="14">
        <f t="shared" si="13"/>
        <v>20.005487523815269</v>
      </c>
      <c r="S50" s="15">
        <f t="shared" si="14"/>
        <v>20.20295464837681</v>
      </c>
      <c r="X50" s="9">
        <f t="shared" si="15"/>
        <v>3.4523285624576401</v>
      </c>
      <c r="Y50" s="10">
        <f t="shared" si="16"/>
        <v>2.9888580214760516</v>
      </c>
      <c r="Z50" s="11">
        <f t="shared" si="17"/>
        <v>2.8729275045956459</v>
      </c>
      <c r="AA50" s="12">
        <f t="shared" si="18"/>
        <v>2.6989884100226162</v>
      </c>
      <c r="AB50" s="13">
        <f t="shared" si="19"/>
        <v>2.5830015117107399</v>
      </c>
      <c r="AC50" s="14">
        <f t="shared" si="20"/>
        <v>2.4089822712032944</v>
      </c>
      <c r="AD50" s="15">
        <f t="shared" si="21"/>
        <v>2.2929448911484966</v>
      </c>
      <c r="AF50" s="9">
        <f t="shared" si="22"/>
        <v>8.0522929477057748</v>
      </c>
      <c r="AG50" s="10">
        <f t="shared" si="23"/>
        <v>8.3368969658235255</v>
      </c>
      <c r="AH50" s="11">
        <f t="shared" si="24"/>
        <v>8.6210684250861025</v>
      </c>
      <c r="AI50" s="12">
        <f t="shared" si="25"/>
        <v>8.9047916978582347</v>
      </c>
      <c r="AJ50" s="13">
        <f t="shared" si="26"/>
        <v>9.1880510901282069</v>
      </c>
      <c r="AK50" s="14">
        <f t="shared" si="27"/>
        <v>9.4708308394247389</v>
      </c>
      <c r="AL50" s="15">
        <f t="shared" si="28"/>
        <v>9.7531151127501534</v>
      </c>
      <c r="AQ50" s="9">
        <f t="shared" si="29"/>
        <v>-4.6937827162768961</v>
      </c>
      <c r="AR50" s="10">
        <f t="shared" si="30"/>
        <v>-5.220365211762263</v>
      </c>
      <c r="AS50" s="11">
        <f t="shared" si="31"/>
        <v>-5.3519227158163734</v>
      </c>
      <c r="AT50" s="12">
        <f t="shared" si="32"/>
        <v>-5.5491890959286332</v>
      </c>
      <c r="AU50" s="13">
        <f t="shared" si="33"/>
        <v>-5.6806520693301978</v>
      </c>
      <c r="AV50" s="14">
        <f t="shared" si="34"/>
        <v>-5.8777722691001424</v>
      </c>
      <c r="AW50" s="15">
        <f t="shared" si="35"/>
        <v>-6.0091348609708373</v>
      </c>
      <c r="AY50" s="9">
        <f t="shared" si="36"/>
        <v>0.59091154627634535</v>
      </c>
      <c r="AZ50" s="10">
        <f t="shared" si="37"/>
        <v>0.92159282355500927</v>
      </c>
      <c r="BA50" s="11">
        <f t="shared" si="38"/>
        <v>1.2522346083659177</v>
      </c>
      <c r="BB50" s="12">
        <f t="shared" si="39"/>
        <v>1.5828227162442898</v>
      </c>
      <c r="BC50" s="13">
        <f t="shared" si="40"/>
        <v>1.9133429507205408</v>
      </c>
      <c r="BD50" s="14">
        <f t="shared" si="41"/>
        <v>2.2437811001475017</v>
      </c>
      <c r="BE50" s="15">
        <f t="shared" si="42"/>
        <v>2.5741229345258079</v>
      </c>
      <c r="BJ50" s="9">
        <f t="shared" si="43"/>
        <v>-12.790828196530809</v>
      </c>
      <c r="BK50" s="10">
        <f t="shared" si="44"/>
        <v>-13.376581436352192</v>
      </c>
      <c r="BL50" s="11">
        <f t="shared" si="45"/>
        <v>-13.522829162237093</v>
      </c>
      <c r="BM50" s="12">
        <f t="shared" si="46"/>
        <v>-13.742053876387459</v>
      </c>
      <c r="BN50" s="13">
        <f t="shared" si="47"/>
        <v>-13.888104345598169</v>
      </c>
      <c r="BO50" s="14">
        <f t="shared" si="48"/>
        <v>-14.107028585907896</v>
      </c>
      <c r="BP50" s="15">
        <f t="shared" si="49"/>
        <v>-14.252875665405268</v>
      </c>
      <c r="BR50" s="9">
        <f t="shared" si="50"/>
        <v>-6.8784748596813339</v>
      </c>
      <c r="BS50" s="10">
        <f t="shared" si="51"/>
        <v>-6.5063792711766952</v>
      </c>
      <c r="BT50" s="11">
        <f t="shared" si="52"/>
        <v>-6.1340618122598212</v>
      </c>
      <c r="BU50" s="12">
        <f t="shared" si="53"/>
        <v>-5.7615355803640185</v>
      </c>
      <c r="BV50" s="13">
        <f t="shared" si="54"/>
        <v>-5.3888136084552603</v>
      </c>
      <c r="BW50" s="14">
        <f t="shared" si="55"/>
        <v>-5.01590886908303</v>
      </c>
      <c r="BX50" s="15">
        <f t="shared" si="56"/>
        <v>-4.642834278407781</v>
      </c>
    </row>
    <row r="51" spans="1:76">
      <c r="A51">
        <f t="shared" si="57"/>
        <v>65</v>
      </c>
      <c r="B51">
        <f t="shared" si="7"/>
        <v>65</v>
      </c>
      <c r="E51" s="9">
        <f t="shared" si="58"/>
        <v>12.529449081532814</v>
      </c>
      <c r="F51" s="10">
        <f t="shared" si="59"/>
        <v>12.224200477093214</v>
      </c>
      <c r="G51" s="11">
        <f t="shared" si="60"/>
        <v>12.147563355941445</v>
      </c>
      <c r="H51" s="12">
        <f t="shared" si="61"/>
        <v>12.032367637151674</v>
      </c>
      <c r="I51" s="13">
        <f t="shared" si="62"/>
        <v>11.955411790148148</v>
      </c>
      <c r="J51" s="14">
        <f t="shared" si="63"/>
        <v>11.839742235473347</v>
      </c>
      <c r="K51" s="15">
        <f t="shared" si="64"/>
        <v>11.762473331472837</v>
      </c>
      <c r="M51" s="9">
        <f t="shared" si="8"/>
        <v>15.455495429675267</v>
      </c>
      <c r="N51" s="10">
        <f t="shared" si="9"/>
        <v>15.62998553923936</v>
      </c>
      <c r="O51" s="11">
        <f t="shared" si="10"/>
        <v>15.803402685011108</v>
      </c>
      <c r="P51" s="12">
        <f t="shared" si="11"/>
        <v>15.975732489337737</v>
      </c>
      <c r="Q51" s="13">
        <f t="shared" si="12"/>
        <v>16.14696057629644</v>
      </c>
      <c r="R51" s="14">
        <f t="shared" si="13"/>
        <v>16.317072573199681</v>
      </c>
      <c r="S51" s="15">
        <f t="shared" si="14"/>
        <v>16.486054112156395</v>
      </c>
      <c r="X51" s="9">
        <f t="shared" si="15"/>
        <v>0.66247901466939463</v>
      </c>
      <c r="Y51" s="10">
        <f t="shared" si="16"/>
        <v>0.2432282794774244</v>
      </c>
      <c r="Z51" s="11">
        <f t="shared" si="17"/>
        <v>0.13840790541607514</v>
      </c>
      <c r="AA51" s="12">
        <f t="shared" si="18"/>
        <v>-1.8824659706482498E-2</v>
      </c>
      <c r="AB51" s="13">
        <f t="shared" si="19"/>
        <v>-0.12364635482677407</v>
      </c>
      <c r="AC51" s="14">
        <f t="shared" si="20"/>
        <v>-0.28087655909220766</v>
      </c>
      <c r="AD51" s="15">
        <f t="shared" si="21"/>
        <v>-0.38569378530288073</v>
      </c>
      <c r="AF51" s="9">
        <f t="shared" si="22"/>
        <v>4.8400218438179872</v>
      </c>
      <c r="AG51" s="10">
        <f t="shared" si="23"/>
        <v>5.0994468330667546</v>
      </c>
      <c r="AH51" s="11">
        <f t="shared" si="24"/>
        <v>5.3585871544600101</v>
      </c>
      <c r="AI51" s="12">
        <f t="shared" si="25"/>
        <v>5.6174280114875952</v>
      </c>
      <c r="AJ51" s="13">
        <f t="shared" si="26"/>
        <v>5.875954575171269</v>
      </c>
      <c r="AK51" s="14">
        <f t="shared" si="27"/>
        <v>6.1341519825745623</v>
      </c>
      <c r="AL51" s="15">
        <f t="shared" si="28"/>
        <v>6.3920053353263482</v>
      </c>
      <c r="AQ51" s="9">
        <f t="shared" si="29"/>
        <v>-7.2773131666121875</v>
      </c>
      <c r="AR51" s="10">
        <f t="shared" si="30"/>
        <v>-7.76604066002308</v>
      </c>
      <c r="AS51" s="11">
        <f t="shared" si="31"/>
        <v>-7.8880756296666288</v>
      </c>
      <c r="AT51" s="12">
        <f t="shared" si="32"/>
        <v>-8.0710139040750128</v>
      </c>
      <c r="AU51" s="13">
        <f t="shared" si="33"/>
        <v>-8.1928951921049791</v>
      </c>
      <c r="AV51" s="14">
        <f t="shared" si="34"/>
        <v>-8.3755983049120211</v>
      </c>
      <c r="AW51" s="15">
        <f t="shared" si="35"/>
        <v>-8.4973197190822951</v>
      </c>
      <c r="AY51" s="9">
        <f t="shared" si="36"/>
        <v>-2.3511019520828889</v>
      </c>
      <c r="AZ51" s="10">
        <f t="shared" si="37"/>
        <v>-2.0416480108384381</v>
      </c>
      <c r="BA51" s="11">
        <f t="shared" si="38"/>
        <v>-1.7320981227957146</v>
      </c>
      <c r="BB51" s="12">
        <f t="shared" si="39"/>
        <v>-1.4224668738098503</v>
      </c>
      <c r="BC51" s="13">
        <f t="shared" si="40"/>
        <v>-1.1127688345372631</v>
      </c>
      <c r="BD51" s="14">
        <f t="shared" si="41"/>
        <v>-0.80301856315329478</v>
      </c>
      <c r="BE51" s="15">
        <f t="shared" si="42"/>
        <v>-0.49323060807002972</v>
      </c>
      <c r="BJ51" s="9">
        <f t="shared" si="43"/>
        <v>-15.132791136192337</v>
      </c>
      <c r="BK51" s="10">
        <f t="shared" si="44"/>
        <v>-15.687831073103569</v>
      </c>
      <c r="BL51" s="11">
        <f t="shared" si="45"/>
        <v>-15.826338843293241</v>
      </c>
      <c r="BM51" s="12">
        <f t="shared" si="46"/>
        <v>-16.03390692941036</v>
      </c>
      <c r="BN51" s="13">
        <f t="shared" si="47"/>
        <v>-16.172155012307972</v>
      </c>
      <c r="BO51" s="14">
        <f t="shared" si="48"/>
        <v>-16.37932842595098</v>
      </c>
      <c r="BP51" s="15">
        <f t="shared" si="49"/>
        <v>-16.517309949121177</v>
      </c>
      <c r="BR51" s="9">
        <f t="shared" si="50"/>
        <v>-9.5073039839702265</v>
      </c>
      <c r="BS51" s="10">
        <f t="shared" si="51"/>
        <v>-9.1519961160269006</v>
      </c>
      <c r="BT51" s="11">
        <f t="shared" si="52"/>
        <v>-8.7963406126676773</v>
      </c>
      <c r="BU51" s="12">
        <f t="shared" si="53"/>
        <v>-8.4403518563544413</v>
      </c>
      <c r="BV51" s="13">
        <f t="shared" si="54"/>
        <v>-8.0840441364564004</v>
      </c>
      <c r="BW51" s="14">
        <f t="shared" si="55"/>
        <v>-7.7274316532463638</v>
      </c>
      <c r="BX51" s="15">
        <f t="shared" si="56"/>
        <v>-7.3705285218726644</v>
      </c>
    </row>
    <row r="52" spans="1:76">
      <c r="A52">
        <f t="shared" si="57"/>
        <v>70</v>
      </c>
      <c r="B52">
        <f t="shared" si="7"/>
        <v>70</v>
      </c>
      <c r="E52" s="9">
        <f t="shared" si="58"/>
        <v>9.3936104460681822</v>
      </c>
      <c r="F52" s="10">
        <f t="shared" si="59"/>
        <v>9.1401817639171163</v>
      </c>
      <c r="G52" s="11">
        <f t="shared" si="60"/>
        <v>9.0765702681487621</v>
      </c>
      <c r="H52" s="12">
        <f t="shared" si="61"/>
        <v>8.980965328661787</v>
      </c>
      <c r="I52" s="13">
        <f t="shared" si="62"/>
        <v>8.9171046663930067</v>
      </c>
      <c r="J52" s="14">
        <f t="shared" si="63"/>
        <v>8.8211294960085489</v>
      </c>
      <c r="K52" s="15">
        <f t="shared" si="64"/>
        <v>8.7570243595650741</v>
      </c>
      <c r="M52" s="9">
        <f t="shared" si="8"/>
        <v>11.82850386171947</v>
      </c>
      <c r="N52" s="10">
        <f t="shared" si="9"/>
        <v>11.974071405230669</v>
      </c>
      <c r="O52" s="11">
        <f t="shared" si="10"/>
        <v>12.118791542874083</v>
      </c>
      <c r="P52" s="12">
        <f t="shared" si="11"/>
        <v>12.26265279735941</v>
      </c>
      <c r="Q52" s="13">
        <f t="shared" si="12"/>
        <v>12.40564371306332</v>
      </c>
      <c r="R52" s="14">
        <f t="shared" si="13"/>
        <v>12.547752857090488</v>
      </c>
      <c r="S52" s="15">
        <f t="shared" si="14"/>
        <v>12.6889688203622</v>
      </c>
      <c r="X52" s="9">
        <f t="shared" si="15"/>
        <v>-2.241757540546911</v>
      </c>
      <c r="Y52" s="10">
        <f t="shared" si="16"/>
        <v>-2.6160224614168812</v>
      </c>
      <c r="Z52" s="11">
        <f t="shared" si="17"/>
        <v>-2.7095286222146227</v>
      </c>
      <c r="AA52" s="12">
        <f t="shared" si="18"/>
        <v>-2.8497391717575753</v>
      </c>
      <c r="AB52" s="13">
        <f t="shared" si="19"/>
        <v>-2.9431791030104613</v>
      </c>
      <c r="AC52" s="14">
        <f t="shared" si="20"/>
        <v>-3.0832861050762181</v>
      </c>
      <c r="AD52" s="15">
        <f t="shared" si="21"/>
        <v>-3.1766542013871479</v>
      </c>
      <c r="AF52" s="9">
        <f t="shared" si="22"/>
        <v>1.5102411176160888</v>
      </c>
      <c r="AG52" s="10">
        <f t="shared" si="23"/>
        <v>1.7445706192629282</v>
      </c>
      <c r="AH52" s="11">
        <f t="shared" si="24"/>
        <v>1.9787964000285441</v>
      </c>
      <c r="AI52" s="12">
        <f t="shared" si="25"/>
        <v>2.2129044926694208</v>
      </c>
      <c r="AJ52" s="13">
        <f t="shared" si="26"/>
        <v>2.4468809212098233</v>
      </c>
      <c r="AK52" s="14">
        <f t="shared" si="27"/>
        <v>2.6807116999250993</v>
      </c>
      <c r="AL52" s="15">
        <f t="shared" si="28"/>
        <v>2.9143828323310412</v>
      </c>
      <c r="AQ52" s="9">
        <f t="shared" si="29"/>
        <v>-9.9842336317133693</v>
      </c>
      <c r="AR52" s="10">
        <f t="shared" si="30"/>
        <v>-10.434121751243</v>
      </c>
      <c r="AS52" s="11">
        <f t="shared" si="31"/>
        <v>-10.546376284031826</v>
      </c>
      <c r="AT52" s="12">
        <f t="shared" si="32"/>
        <v>-10.714590767888772</v>
      </c>
      <c r="AU52" s="13">
        <f t="shared" si="33"/>
        <v>-10.826620702979634</v>
      </c>
      <c r="AV52" s="14">
        <f t="shared" si="34"/>
        <v>-10.994493428295597</v>
      </c>
      <c r="AW52" s="15">
        <f t="shared" si="35"/>
        <v>-11.106292275395781</v>
      </c>
      <c r="AY52" s="9">
        <f t="shared" si="36"/>
        <v>-5.4221321701251952</v>
      </c>
      <c r="AZ52" s="10">
        <f t="shared" si="37"/>
        <v>-5.1340003179555547</v>
      </c>
      <c r="BA52" s="11">
        <f t="shared" si="38"/>
        <v>-4.845606740764298</v>
      </c>
      <c r="BB52" s="12">
        <f t="shared" si="39"/>
        <v>-4.5569664298875221</v>
      </c>
      <c r="BC52" s="13">
        <f t="shared" si="40"/>
        <v>-4.2680943388746346</v>
      </c>
      <c r="BD52" s="14">
        <f t="shared" si="41"/>
        <v>-3.9790053857190837</v>
      </c>
      <c r="BE52" s="15">
        <f t="shared" si="42"/>
        <v>-3.6897144550949648</v>
      </c>
      <c r="BJ52" s="9">
        <f t="shared" si="43"/>
        <v>-17.600025031751382</v>
      </c>
      <c r="BK52" s="10">
        <f t="shared" si="44"/>
        <v>-18.123400524185584</v>
      </c>
      <c r="BL52" s="11">
        <f t="shared" si="45"/>
        <v>-18.253919678457326</v>
      </c>
      <c r="BM52" s="12">
        <f t="shared" si="46"/>
        <v>-18.449449973122121</v>
      </c>
      <c r="BN52" s="13">
        <f t="shared" si="47"/>
        <v>-18.579636106239043</v>
      </c>
      <c r="BO52" s="14">
        <f t="shared" si="48"/>
        <v>-18.774661156642907</v>
      </c>
      <c r="BP52" s="15">
        <f t="shared" si="49"/>
        <v>-18.904506632809159</v>
      </c>
      <c r="BR52" s="9">
        <f t="shared" si="50"/>
        <v>-12.26715474110213</v>
      </c>
      <c r="BS52" s="10">
        <f t="shared" si="51"/>
        <v>-11.928771703660253</v>
      </c>
      <c r="BT52" s="11">
        <f t="shared" si="52"/>
        <v>-11.589889689004027</v>
      </c>
      <c r="BU52" s="12">
        <f t="shared" si="53"/>
        <v>-11.250524463861213</v>
      </c>
      <c r="BV52" s="13">
        <f t="shared" si="54"/>
        <v>-10.910691673366074</v>
      </c>
      <c r="BW52" s="14">
        <f t="shared" si="55"/>
        <v>-10.570406844901164</v>
      </c>
      <c r="BX52" s="15">
        <f t="shared" si="56"/>
        <v>-10.22968539192191</v>
      </c>
    </row>
    <row r="53" spans="1:76">
      <c r="A53">
        <f t="shared" si="57"/>
        <v>75</v>
      </c>
      <c r="B53">
        <f t="shared" si="7"/>
        <v>75</v>
      </c>
      <c r="E53" s="9">
        <f t="shared" si="58"/>
        <v>6.1859396796417121</v>
      </c>
      <c r="F53" s="10">
        <f t="shared" si="59"/>
        <v>5.9842665858944537</v>
      </c>
      <c r="G53" s="11">
        <f t="shared" si="60"/>
        <v>5.933675558301938</v>
      </c>
      <c r="H53" s="12">
        <f t="shared" si="61"/>
        <v>5.8576618709902357</v>
      </c>
      <c r="I53" s="13">
        <f t="shared" si="62"/>
        <v>5.8069021851216034</v>
      </c>
      <c r="J53" s="14">
        <f t="shared" si="63"/>
        <v>5.7306383067370792</v>
      </c>
      <c r="K53" s="15">
        <f t="shared" si="64"/>
        <v>5.6797136923560458</v>
      </c>
      <c r="M53" s="9">
        <f t="shared" si="8"/>
        <v>8.134063398651568</v>
      </c>
      <c r="N53" s="10">
        <f t="shared" si="9"/>
        <v>8.2511975552224666</v>
      </c>
      <c r="O53" s="11">
        <f t="shared" si="10"/>
        <v>8.367733518879291</v>
      </c>
      <c r="P53" s="12">
        <f t="shared" si="11"/>
        <v>8.4836623599672425</v>
      </c>
      <c r="Q53" s="13">
        <f t="shared" si="12"/>
        <v>8.5989751747712386</v>
      </c>
      <c r="R53" s="14">
        <f t="shared" si="13"/>
        <v>8.7136630862075837</v>
      </c>
      <c r="S53" s="15">
        <f t="shared" si="14"/>
        <v>8.8277172445268732</v>
      </c>
      <c r="X53" s="9">
        <f t="shared" si="15"/>
        <v>-5.245937558303754</v>
      </c>
      <c r="Y53" s="10">
        <f t="shared" si="16"/>
        <v>-5.5745580120234735</v>
      </c>
      <c r="Z53" s="11">
        <f t="shared" si="17"/>
        <v>-5.6565735803169055</v>
      </c>
      <c r="AA53" s="12">
        <f t="shared" si="18"/>
        <v>-5.7794887997566669</v>
      </c>
      <c r="AB53" s="13">
        <f t="shared" si="19"/>
        <v>-5.8613589426172092</v>
      </c>
      <c r="AC53" s="14">
        <f t="shared" si="20"/>
        <v>-5.9840520110326976</v>
      </c>
      <c r="AD53" s="15">
        <f t="shared" si="21"/>
        <v>-6.0657713766366763</v>
      </c>
      <c r="AF53" s="9">
        <f t="shared" si="22"/>
        <v>-1.9218531512711576</v>
      </c>
      <c r="AG53" s="10">
        <f t="shared" si="23"/>
        <v>-1.7125096316571145</v>
      </c>
      <c r="AH53" s="11">
        <f t="shared" si="24"/>
        <v>-1.5030585383853887</v>
      </c>
      <c r="AI53" s="12">
        <f t="shared" si="25"/>
        <v>-1.293513054246191</v>
      </c>
      <c r="AJ53" s="13">
        <f t="shared" si="26"/>
        <v>-1.0838863578626845</v>
      </c>
      <c r="AK53" s="14">
        <f t="shared" si="27"/>
        <v>-0.87419162426416364</v>
      </c>
      <c r="AL53" s="15">
        <f t="shared" si="28"/>
        <v>-0.66444202546295505</v>
      </c>
      <c r="AQ53" s="9">
        <f t="shared" si="29"/>
        <v>-12.80249083858582</v>
      </c>
      <c r="AR53" s="10">
        <f t="shared" si="30"/>
        <v>-13.212675641635217</v>
      </c>
      <c r="AS53" s="11">
        <f t="shared" si="31"/>
        <v>-13.314921971550508</v>
      </c>
      <c r="AT53" s="12">
        <f t="shared" si="32"/>
        <v>-13.468062206912176</v>
      </c>
      <c r="AU53" s="13">
        <f t="shared" si="33"/>
        <v>-13.570001287965743</v>
      </c>
      <c r="AV53" s="14">
        <f t="shared" si="34"/>
        <v>-13.722675598613755</v>
      </c>
      <c r="AW53" s="15">
        <f t="shared" si="35"/>
        <v>-13.824300687906099</v>
      </c>
      <c r="AY53" s="9">
        <f t="shared" si="36"/>
        <v>-8.6089411926898549</v>
      </c>
      <c r="AZ53" s="10">
        <f t="shared" si="37"/>
        <v>-8.342154552079041</v>
      </c>
      <c r="BA53" s="11">
        <f t="shared" si="38"/>
        <v>-8.0749105605737963</v>
      </c>
      <c r="BB53" s="12">
        <f t="shared" si="39"/>
        <v>-7.8072246637045595</v>
      </c>
      <c r="BC53" s="13">
        <f t="shared" si="40"/>
        <v>-7.5391122531131884</v>
      </c>
      <c r="BD53" s="14">
        <f t="shared" si="41"/>
        <v>-7.2705886682052849</v>
      </c>
      <c r="BE53" s="15">
        <f t="shared" si="42"/>
        <v>-7.0016691978207737</v>
      </c>
      <c r="BJ53" s="9">
        <f t="shared" si="43"/>
        <v>-20.182884841567052</v>
      </c>
      <c r="BK53" s="10">
        <f t="shared" si="44"/>
        <v>-20.673776650846069</v>
      </c>
      <c r="BL53" s="11">
        <f t="shared" si="45"/>
        <v>-20.796090983716912</v>
      </c>
      <c r="BM53" s="12">
        <f t="shared" si="46"/>
        <v>-20.979250612819751</v>
      </c>
      <c r="BN53" s="13">
        <f t="shared" si="47"/>
        <v>-21.10114716316215</v>
      </c>
      <c r="BO53" s="14">
        <f t="shared" si="48"/>
        <v>-21.283673815197645</v>
      </c>
      <c r="BP53" s="15">
        <f t="shared" si="49"/>
        <v>-21.405144158221773</v>
      </c>
      <c r="BR53" s="9">
        <f t="shared" si="50"/>
        <v>-15.146896608008305</v>
      </c>
      <c r="BS53" s="10">
        <f t="shared" si="51"/>
        <v>-14.825474240173453</v>
      </c>
      <c r="BT53" s="11">
        <f t="shared" si="52"/>
        <v>-14.503375226202461</v>
      </c>
      <c r="BU53" s="12">
        <f t="shared" si="53"/>
        <v>-14.18061686429005</v>
      </c>
      <c r="BV53" s="13">
        <f t="shared" si="54"/>
        <v>-13.85721630404144</v>
      </c>
      <c r="BW53" s="14">
        <f t="shared" si="55"/>
        <v>-13.533190550004552</v>
      </c>
      <c r="BX53" s="15">
        <f t="shared" si="56"/>
        <v>-13.208556465202218</v>
      </c>
    </row>
    <row r="54" spans="1:76">
      <c r="A54">
        <f t="shared" si="57"/>
        <v>80</v>
      </c>
      <c r="B54">
        <f t="shared" si="7"/>
        <v>80</v>
      </c>
      <c r="E54" s="9">
        <f t="shared" si="58"/>
        <v>2.9223100016568284</v>
      </c>
      <c r="F54" s="10">
        <f t="shared" si="59"/>
        <v>2.7723463371631776</v>
      </c>
      <c r="G54" s="11">
        <f t="shared" si="60"/>
        <v>2.734772774213674</v>
      </c>
      <c r="H54" s="12">
        <f t="shared" si="61"/>
        <v>2.6783522506797386</v>
      </c>
      <c r="I54" s="13">
        <f t="shared" si="62"/>
        <v>2.6406990979700611</v>
      </c>
      <c r="J54" s="14">
        <f t="shared" si="63"/>
        <v>2.5841612768617281</v>
      </c>
      <c r="K54" s="15">
        <f t="shared" si="64"/>
        <v>2.5464313181000549</v>
      </c>
      <c r="M54" s="9">
        <f t="shared" si="8"/>
        <v>4.3870343770144844</v>
      </c>
      <c r="N54" s="10">
        <f t="shared" si="9"/>
        <v>4.4761123521522288</v>
      </c>
      <c r="O54" s="11">
        <f t="shared" si="10"/>
        <v>4.5648595595493715</v>
      </c>
      <c r="P54" s="12">
        <f t="shared" si="11"/>
        <v>4.6532693309308311</v>
      </c>
      <c r="Q54" s="13">
        <f t="shared" si="12"/>
        <v>4.7413350168749862</v>
      </c>
      <c r="R54" s="14">
        <f t="shared" si="13"/>
        <v>4.8290499872592534</v>
      </c>
      <c r="S54" s="15">
        <f t="shared" si="14"/>
        <v>4.91640763170866</v>
      </c>
      <c r="X54" s="9">
        <f t="shared" si="15"/>
        <v>-8.3363818129013918</v>
      </c>
      <c r="Y54" s="10">
        <f t="shared" si="16"/>
        <v>-8.6187440282485657</v>
      </c>
      <c r="Z54" s="11">
        <f t="shared" si="17"/>
        <v>-8.6891048343310882</v>
      </c>
      <c r="AA54" s="12">
        <f t="shared" si="18"/>
        <v>-8.7944704689975541</v>
      </c>
      <c r="AB54" s="13">
        <f t="shared" si="19"/>
        <v>-8.864596003969865</v>
      </c>
      <c r="AC54" s="14">
        <f t="shared" si="20"/>
        <v>-8.9696049650716869</v>
      </c>
      <c r="AD54" s="15">
        <f t="shared" si="21"/>
        <v>-9.0394902060695568</v>
      </c>
      <c r="AF54" s="9">
        <f t="shared" si="22"/>
        <v>-5.4424741046870002</v>
      </c>
      <c r="AG54" s="10">
        <f t="shared" si="23"/>
        <v>-5.2580207840894433</v>
      </c>
      <c r="AH54" s="11">
        <f t="shared" si="24"/>
        <v>-5.0732206656370016</v>
      </c>
      <c r="AI54" s="12">
        <f t="shared" si="25"/>
        <v>-4.8880861981339088</v>
      </c>
      <c r="AJ54" s="13">
        <f t="shared" si="26"/>
        <v>-4.7026298246774889</v>
      </c>
      <c r="AK54" s="14">
        <f t="shared" si="27"/>
        <v>-4.5168639827488377</v>
      </c>
      <c r="AL54" s="15">
        <f t="shared" si="28"/>
        <v>-4.3308011043172314</v>
      </c>
      <c r="AQ54" s="9">
        <f t="shared" si="29"/>
        <v>-15.720570333706766</v>
      </c>
      <c r="AR54" s="10">
        <f t="shared" si="30"/>
        <v>-16.090257188430424</v>
      </c>
      <c r="AS54" s="11">
        <f t="shared" si="31"/>
        <v>-16.182284994832102</v>
      </c>
      <c r="AT54" s="12">
        <f t="shared" si="32"/>
        <v>-16.320026785863075</v>
      </c>
      <c r="AU54" s="13">
        <f t="shared" si="33"/>
        <v>-16.411653084837955</v>
      </c>
      <c r="AV54" s="14">
        <f t="shared" si="34"/>
        <v>-16.548787414882703</v>
      </c>
      <c r="AW54" s="15">
        <f t="shared" si="35"/>
        <v>-16.64000526681416</v>
      </c>
      <c r="AY54" s="9">
        <f t="shared" si="36"/>
        <v>-11.89935568874974</v>
      </c>
      <c r="AZ54" s="10">
        <f t="shared" si="37"/>
        <v>-11.653898502291717</v>
      </c>
      <c r="BA54" s="11">
        <f t="shared" si="38"/>
        <v>-11.407758861551653</v>
      </c>
      <c r="BB54" s="12">
        <f t="shared" si="39"/>
        <v>-11.16095274205869</v>
      </c>
      <c r="BC54" s="13">
        <f t="shared" si="40"/>
        <v>-10.913496057769111</v>
      </c>
      <c r="BD54" s="14">
        <f t="shared" si="41"/>
        <v>-10.665404661976202</v>
      </c>
      <c r="BE54" s="15">
        <f t="shared" si="42"/>
        <v>-10.416694348256948</v>
      </c>
      <c r="BJ54" s="9">
        <f t="shared" si="43"/>
        <v>-22.872082001533546</v>
      </c>
      <c r="BK54" s="10">
        <f t="shared" si="44"/>
        <v>-23.329769114517664</v>
      </c>
      <c r="BL54" s="11">
        <f t="shared" si="45"/>
        <v>-23.443686442595414</v>
      </c>
      <c r="BM54" s="12">
        <f t="shared" si="46"/>
        <v>-23.614178164421077</v>
      </c>
      <c r="BN54" s="13">
        <f t="shared" si="47"/>
        <v>-23.727580987013919</v>
      </c>
      <c r="BO54" s="14">
        <f t="shared" si="48"/>
        <v>-23.897294037945287</v>
      </c>
      <c r="BP54" s="15">
        <f t="shared" si="49"/>
        <v>-24.010173117467684</v>
      </c>
      <c r="BR54" s="9">
        <f t="shared" si="50"/>
        <v>-18.136083359299445</v>
      </c>
      <c r="BS54" s="10">
        <f t="shared" si="51"/>
        <v>-17.831576033344579</v>
      </c>
      <c r="BT54" s="11">
        <f t="shared" si="52"/>
        <v>-17.526187228744092</v>
      </c>
      <c r="BU54" s="12">
        <f t="shared" si="53"/>
        <v>-17.219935970579662</v>
      </c>
      <c r="BV54" s="13">
        <f t="shared" si="54"/>
        <v>-16.91284111137044</v>
      </c>
      <c r="BW54" s="14">
        <f t="shared" si="55"/>
        <v>-16.604921334059124</v>
      </c>
      <c r="BX54" s="15">
        <f t="shared" si="56"/>
        <v>-16.296195155027824</v>
      </c>
    </row>
    <row r="55" spans="1:76">
      <c r="A55">
        <f t="shared" si="57"/>
        <v>85</v>
      </c>
      <c r="B55">
        <f t="shared" si="7"/>
        <v>85</v>
      </c>
      <c r="E55" s="9">
        <f t="shared" si="58"/>
        <v>-0.3823194698531816</v>
      </c>
      <c r="F55" s="10">
        <f t="shared" si="59"/>
        <v>-0.48055496495664429</v>
      </c>
      <c r="G55" s="11">
        <f t="shared" si="60"/>
        <v>-0.50510015721307133</v>
      </c>
      <c r="H55" s="12">
        <f t="shared" si="61"/>
        <v>-0.54190648734820845</v>
      </c>
      <c r="I55" s="13">
        <f t="shared" si="62"/>
        <v>-0.56643597237810561</v>
      </c>
      <c r="J55" s="14">
        <f t="shared" si="63"/>
        <v>-0.60321736115638447</v>
      </c>
      <c r="K55" s="15">
        <f t="shared" si="64"/>
        <v>-0.62772929852587456</v>
      </c>
      <c r="M55" s="9">
        <f t="shared" si="8"/>
        <v>0.60095661200725758</v>
      </c>
      <c r="N55" s="10">
        <f t="shared" si="9"/>
        <v>0.66222398772917512</v>
      </c>
      <c r="O55" s="11">
        <f t="shared" si="10"/>
        <v>0.72344168688953558</v>
      </c>
      <c r="P55" s="12">
        <f t="shared" si="11"/>
        <v>0.78460511538867295</v>
      </c>
      <c r="Q55" s="13">
        <f t="shared" si="12"/>
        <v>0.84570968270462166</v>
      </c>
      <c r="R55" s="14">
        <f t="shared" si="13"/>
        <v>0.90675080219720317</v>
      </c>
      <c r="S55" s="15">
        <f t="shared" si="14"/>
        <v>0.9677238914122166</v>
      </c>
      <c r="X55" s="9">
        <f t="shared" si="15"/>
        <v>-11.50006026630343</v>
      </c>
      <c r="Y55" s="10">
        <f t="shared" si="16"/>
        <v>-11.735539283426299</v>
      </c>
      <c r="Z55" s="11">
        <f t="shared" si="17"/>
        <v>-11.794079445979916</v>
      </c>
      <c r="AA55" s="12">
        <f t="shared" si="18"/>
        <v>-11.881639500524372</v>
      </c>
      <c r="AB55" s="13">
        <f t="shared" si="19"/>
        <v>-11.939845003405464</v>
      </c>
      <c r="AC55" s="14">
        <f t="shared" si="20"/>
        <v>-12.026899618029361</v>
      </c>
      <c r="AD55" s="15">
        <f t="shared" si="21"/>
        <v>-12.084765862573216</v>
      </c>
      <c r="AF55" s="9">
        <f t="shared" si="22"/>
        <v>-9.0390489465978927</v>
      </c>
      <c r="AG55" s="10">
        <f t="shared" si="23"/>
        <v>-8.8794374360341095</v>
      </c>
      <c r="AH55" s="11">
        <f t="shared" si="24"/>
        <v>-8.7192139851210761</v>
      </c>
      <c r="AI55" s="12">
        <f t="shared" si="25"/>
        <v>-8.5583903296618971</v>
      </c>
      <c r="AJ55" s="13">
        <f t="shared" si="26"/>
        <v>-8.3969782103328079</v>
      </c>
      <c r="AK55" s="14">
        <f t="shared" si="27"/>
        <v>-8.2349893722109506</v>
      </c>
      <c r="AL55" s="15">
        <f t="shared" si="28"/>
        <v>-8.0724355643240031</v>
      </c>
      <c r="AQ55" s="9">
        <f t="shared" si="29"/>
        <v>-18.727467533155234</v>
      </c>
      <c r="AR55" s="10">
        <f t="shared" si="30"/>
        <v>-19.05588126750726</v>
      </c>
      <c r="AS55" s="11">
        <f t="shared" si="31"/>
        <v>-19.137485257689235</v>
      </c>
      <c r="AT55" s="12">
        <f t="shared" si="32"/>
        <v>-19.259512085504618</v>
      </c>
      <c r="AU55" s="13">
        <f t="shared" si="33"/>
        <v>-19.340608887201846</v>
      </c>
      <c r="AV55" s="14">
        <f t="shared" si="34"/>
        <v>-19.461869640865459</v>
      </c>
      <c r="AW55" s="15">
        <f t="shared" si="35"/>
        <v>-19.542452195085904</v>
      </c>
      <c r="AY55" s="9">
        <f t="shared" si="36"/>
        <v>-15.282205340569252</v>
      </c>
      <c r="AZ55" s="10">
        <f t="shared" si="37"/>
        <v>-15.058052244520791</v>
      </c>
      <c r="BA55" s="11">
        <f t="shared" si="38"/>
        <v>-14.83296217441808</v>
      </c>
      <c r="BB55" s="12">
        <f t="shared" si="39"/>
        <v>-14.606951719479925</v>
      </c>
      <c r="BC55" s="13">
        <f t="shared" si="40"/>
        <v>-14.380037410399158</v>
      </c>
      <c r="BD55" s="14">
        <f t="shared" si="41"/>
        <v>-14.152235719264386</v>
      </c>
      <c r="BE55" s="15">
        <f t="shared" si="42"/>
        <v>-13.923563059542207</v>
      </c>
      <c r="BJ55" s="9">
        <f t="shared" si="43"/>
        <v>-25.65871328202627</v>
      </c>
      <c r="BK55" s="10">
        <f t="shared" si="44"/>
        <v>-26.082538465597604</v>
      </c>
      <c r="BL55" s="11">
        <f t="shared" si="45"/>
        <v>-26.187881950228238</v>
      </c>
      <c r="BM55" s="12">
        <f t="shared" si="46"/>
        <v>-26.345431093205871</v>
      </c>
      <c r="BN55" s="13">
        <f t="shared" si="47"/>
        <v>-26.450150793352591</v>
      </c>
      <c r="BO55" s="14">
        <f t="shared" si="48"/>
        <v>-26.606756724075719</v>
      </c>
      <c r="BP55" s="15">
        <f t="shared" si="49"/>
        <v>-26.710842572910497</v>
      </c>
      <c r="BR55" s="9">
        <f t="shared" si="50"/>
        <v>-21.224968234553248</v>
      </c>
      <c r="BS55" s="10">
        <f t="shared" si="51"/>
        <v>-20.937266403219624</v>
      </c>
      <c r="BT55" s="11">
        <f t="shared" si="52"/>
        <v>-20.648450004024124</v>
      </c>
      <c r="BU55" s="12">
        <f t="shared" si="53"/>
        <v>-20.358540032861093</v>
      </c>
      <c r="BV55" s="13">
        <f t="shared" si="54"/>
        <v>-20.067557293945363</v>
      </c>
      <c r="BW55" s="14">
        <f t="shared" si="55"/>
        <v>-19.775522401900634</v>
      </c>
      <c r="BX55" s="15">
        <f t="shared" si="56"/>
        <v>-19.482455783923655</v>
      </c>
    </row>
    <row r="56" spans="1:76">
      <c r="A56">
        <f t="shared" si="57"/>
        <v>90</v>
      </c>
      <c r="B56">
        <f t="shared" si="7"/>
        <v>90</v>
      </c>
      <c r="E56" s="9">
        <f t="shared" si="58"/>
        <v>-3.7136093463064306</v>
      </c>
      <c r="F56" s="10">
        <f t="shared" si="59"/>
        <v>-3.7599995848175478</v>
      </c>
      <c r="G56" s="11">
        <f t="shared" si="60"/>
        <v>-3.7714831786158962</v>
      </c>
      <c r="H56" s="12">
        <f t="shared" si="61"/>
        <v>-3.7886225196228547</v>
      </c>
      <c r="I56" s="13">
        <f t="shared" si="62"/>
        <v>-3.799991175476515</v>
      </c>
      <c r="J56" s="14">
        <f t="shared" si="63"/>
        <v>-3.8169574522864362</v>
      </c>
      <c r="K56" s="15">
        <f t="shared" si="64"/>
        <v>-3.8282102958392206</v>
      </c>
      <c r="M56" s="9">
        <f t="shared" si="8"/>
        <v>-3.2115417642271766</v>
      </c>
      <c r="N56" s="10">
        <f t="shared" si="9"/>
        <v>-3.1779852281008751</v>
      </c>
      <c r="O56" s="11">
        <f t="shared" si="10"/>
        <v>-3.1441875266357155</v>
      </c>
      <c r="P56" s="12">
        <f t="shared" si="11"/>
        <v>-3.1101512453401874</v>
      </c>
      <c r="Q56" s="13">
        <f t="shared" si="12"/>
        <v>-3.0758789872998702</v>
      </c>
      <c r="R56" s="14">
        <f t="shared" si="13"/>
        <v>-3.0413733729717167</v>
      </c>
      <c r="S56" s="15">
        <f t="shared" si="14"/>
        <v>-3.0066370399774431</v>
      </c>
      <c r="X56" s="9">
        <f t="shared" si="15"/>
        <v>-14.724438932661034</v>
      </c>
      <c r="Y56" s="10">
        <f t="shared" si="16"/>
        <v>-14.912348055959377</v>
      </c>
      <c r="Z56" s="11">
        <f t="shared" si="17"/>
        <v>-14.958887433682055</v>
      </c>
      <c r="AA56" s="12">
        <f t="shared" si="18"/>
        <v>-15.028365425251193</v>
      </c>
      <c r="AB56" s="13">
        <f t="shared" si="19"/>
        <v>-15.074462423095198</v>
      </c>
      <c r="AC56" s="14">
        <f t="shared" si="20"/>
        <v>-15.143273807022911</v>
      </c>
      <c r="AD56" s="15">
        <f t="shared" si="21"/>
        <v>-15.188924379936504</v>
      </c>
      <c r="AF56" s="9">
        <f t="shared" si="22"/>
        <v>-12.70000622802263</v>
      </c>
      <c r="AG56" s="10">
        <f t="shared" si="23"/>
        <v>-12.565265153233813</v>
      </c>
      <c r="AH56" s="11">
        <f t="shared" si="24"/>
        <v>-12.429622641442226</v>
      </c>
      <c r="AI56" s="12">
        <f t="shared" si="25"/>
        <v>-12.29308967249542</v>
      </c>
      <c r="AJ56" s="13">
        <f t="shared" si="26"/>
        <v>-12.155677255066841</v>
      </c>
      <c r="AK56" s="14">
        <f t="shared" si="27"/>
        <v>-12.017396425532276</v>
      </c>
      <c r="AL56" s="15">
        <f t="shared" si="28"/>
        <v>-11.878258246871386</v>
      </c>
      <c r="AQ56" s="9">
        <f t="shared" si="29"/>
        <v>-21.812624776569763</v>
      </c>
      <c r="AR56" s="10">
        <f t="shared" si="30"/>
        <v>-22.09896056797054</v>
      </c>
      <c r="AS56" s="11">
        <f t="shared" si="31"/>
        <v>-22.169928216604823</v>
      </c>
      <c r="AT56" s="12">
        <f t="shared" si="32"/>
        <v>-22.27591287013005</v>
      </c>
      <c r="AU56" s="13">
        <f t="shared" si="33"/>
        <v>-22.346256443799909</v>
      </c>
      <c r="AV56" s="14">
        <f t="shared" si="34"/>
        <v>-22.45129968501049</v>
      </c>
      <c r="AW56" s="15">
        <f t="shared" si="35"/>
        <v>-22.521012118110992</v>
      </c>
      <c r="AY56" s="9">
        <f t="shared" si="36"/>
        <v>-18.7472372510375</v>
      </c>
      <c r="AZ56" s="10">
        <f t="shared" si="37"/>
        <v>-18.544379950820403</v>
      </c>
      <c r="BA56" s="11">
        <f t="shared" si="38"/>
        <v>-18.340301332732938</v>
      </c>
      <c r="BB56" s="12">
        <f t="shared" si="39"/>
        <v>-18.135018670262564</v>
      </c>
      <c r="BC56" s="13">
        <f t="shared" si="40"/>
        <v>-17.928549195210064</v>
      </c>
      <c r="BD56" s="14">
        <f t="shared" si="41"/>
        <v>-17.720910096288652</v>
      </c>
      <c r="BE56" s="15">
        <f t="shared" si="42"/>
        <v>-17.51211851781013</v>
      </c>
      <c r="BJ56" s="9">
        <f t="shared" si="43"/>
        <v>-28.534267994093021</v>
      </c>
      <c r="BK56" s="10">
        <f t="shared" si="44"/>
        <v>-28.923602402775295</v>
      </c>
      <c r="BL56" s="11">
        <f t="shared" si="45"/>
        <v>-29.020201578978284</v>
      </c>
      <c r="BM56" s="12">
        <f t="shared" si="46"/>
        <v>-29.164542497609002</v>
      </c>
      <c r="BN56" s="13">
        <f t="shared" si="47"/>
        <v>-29.260395344999665</v>
      </c>
      <c r="BO56" s="14">
        <f t="shared" si="48"/>
        <v>-29.403608609652661</v>
      </c>
      <c r="BP56" s="15">
        <f t="shared" si="49"/>
        <v>-29.498704231103652</v>
      </c>
      <c r="BR56" s="9">
        <f t="shared" si="50"/>
        <v>-24.40449733788563</v>
      </c>
      <c r="BS56" s="10">
        <f t="shared" si="51"/>
        <v>-24.133442710597581</v>
      </c>
      <c r="BT56" s="11">
        <f t="shared" si="52"/>
        <v>-23.861010640867221</v>
      </c>
      <c r="BU56" s="12">
        <f t="shared" si="53"/>
        <v>-23.587224389316212</v>
      </c>
      <c r="BV56" s="13">
        <f t="shared" si="54"/>
        <v>-23.312107013027532</v>
      </c>
      <c r="BW56" s="14">
        <f t="shared" si="55"/>
        <v>-23.035681366224505</v>
      </c>
      <c r="BX56" s="15">
        <f t="shared" si="56"/>
        <v>-22.757970101092091</v>
      </c>
    </row>
    <row r="57" spans="1:76">
      <c r="A57">
        <f t="shared" si="57"/>
        <v>95</v>
      </c>
      <c r="B57">
        <f t="shared" si="7"/>
        <v>95</v>
      </c>
      <c r="E57" s="9">
        <f t="shared" si="58"/>
        <v>-7.0575362951052236</v>
      </c>
      <c r="F57" s="10">
        <f t="shared" si="59"/>
        <v>-7.0518437201144444</v>
      </c>
      <c r="G57" s="11">
        <f t="shared" si="60"/>
        <v>-7.0502046395276583</v>
      </c>
      <c r="H57" s="12">
        <f t="shared" si="61"/>
        <v>-7.0475841480780126</v>
      </c>
      <c r="I57" s="13">
        <f t="shared" si="62"/>
        <v>-7.0457292725295932</v>
      </c>
      <c r="J57" s="14">
        <f t="shared" si="63"/>
        <v>-7.0427851964215016</v>
      </c>
      <c r="K57" s="15">
        <f t="shared" si="64"/>
        <v>-7.0407146736293686</v>
      </c>
      <c r="M57" s="9">
        <f t="shared" si="8"/>
        <v>-7.0383547119255843</v>
      </c>
      <c r="N57" s="10">
        <f t="shared" si="9"/>
        <v>-7.0325660082111892</v>
      </c>
      <c r="O57" s="11">
        <f t="shared" si="10"/>
        <v>-7.0262391207532522</v>
      </c>
      <c r="P57" s="12">
        <f t="shared" si="11"/>
        <v>-7.0193745532636465</v>
      </c>
      <c r="Q57" s="13">
        <f t="shared" si="12"/>
        <v>-7.0119728522006977</v>
      </c>
      <c r="R57" s="14">
        <f t="shared" si="13"/>
        <v>-7.0040346067109089</v>
      </c>
      <c r="S57" s="15">
        <f t="shared" si="14"/>
        <v>-6.9955604485662333</v>
      </c>
      <c r="X57" s="9">
        <f t="shared" si="15"/>
        <v>-17.997291430206122</v>
      </c>
      <c r="Y57" s="10">
        <f t="shared" si="16"/>
        <v>-18.136836169320574</v>
      </c>
      <c r="Z57" s="11">
        <f t="shared" si="17"/>
        <v>-18.171168959896633</v>
      </c>
      <c r="AA57" s="12">
        <f t="shared" si="18"/>
        <v>-18.222250911822684</v>
      </c>
      <c r="AB57" s="13">
        <f t="shared" si="19"/>
        <v>-18.256026612423021</v>
      </c>
      <c r="AC57" s="14">
        <f t="shared" si="20"/>
        <v>-18.306270437148203</v>
      </c>
      <c r="AD57" s="15">
        <f t="shared" si="21"/>
        <v>-18.33948573494337</v>
      </c>
      <c r="AF57" s="9">
        <f t="shared" si="22"/>
        <v>-16.414549350499634</v>
      </c>
      <c r="AG57" s="10">
        <f t="shared" si="23"/>
        <v>-16.304811868814301</v>
      </c>
      <c r="AH57" s="11">
        <f t="shared" si="24"/>
        <v>-16.193860233699052</v>
      </c>
      <c r="AI57" s="12">
        <f t="shared" si="25"/>
        <v>-16.081704525683616</v>
      </c>
      <c r="AJ57" s="13">
        <f t="shared" si="26"/>
        <v>-15.96835489334234</v>
      </c>
      <c r="AK57" s="14">
        <f t="shared" si="27"/>
        <v>-15.853821551467027</v>
      </c>
      <c r="AL57" s="15">
        <f t="shared" si="28"/>
        <v>-15.738114779258474</v>
      </c>
      <c r="AQ57" s="9">
        <f t="shared" si="29"/>
        <v>-24.96583609983783</v>
      </c>
      <c r="AR57" s="10">
        <f t="shared" si="30"/>
        <v>-25.209210087780782</v>
      </c>
      <c r="AS57" s="11">
        <f t="shared" si="31"/>
        <v>-25.269309297385622</v>
      </c>
      <c r="AT57" s="12">
        <f t="shared" si="32"/>
        <v>-25.358895380821213</v>
      </c>
      <c r="AU57" s="13">
        <f t="shared" si="33"/>
        <v>-25.418242667069727</v>
      </c>
      <c r="AV57" s="14">
        <f t="shared" si="34"/>
        <v>-25.506695679766871</v>
      </c>
      <c r="AW57" s="15">
        <f t="shared" si="35"/>
        <v>-25.565284136249993</v>
      </c>
      <c r="AY57" s="9">
        <f t="shared" si="36"/>
        <v>-22.285013192510576</v>
      </c>
      <c r="AZ57" s="10">
        <f t="shared" si="37"/>
        <v>-22.103485689102747</v>
      </c>
      <c r="BA57" s="11">
        <f t="shared" si="38"/>
        <v>-21.920421678163635</v>
      </c>
      <c r="BB57" s="12">
        <f t="shared" si="39"/>
        <v>-21.735839150826568</v>
      </c>
      <c r="BC57" s="13">
        <f t="shared" si="40"/>
        <v>-21.549756091416487</v>
      </c>
      <c r="BD57" s="14">
        <f t="shared" si="41"/>
        <v>-21.362190474298131</v>
      </c>
      <c r="BE57" s="15">
        <f t="shared" si="42"/>
        <v>-21.173160260836568</v>
      </c>
      <c r="BJ57" s="9">
        <f t="shared" si="43"/>
        <v>-31.490615695450298</v>
      </c>
      <c r="BK57" s="10">
        <f t="shared" si="44"/>
        <v>-31.844821875904316</v>
      </c>
      <c r="BL57" s="11">
        <f t="shared" si="45"/>
        <v>-31.932503218181889</v>
      </c>
      <c r="BM57" s="12">
        <f t="shared" si="46"/>
        <v>-32.063365009541492</v>
      </c>
      <c r="BN57" s="13">
        <f t="shared" si="47"/>
        <v>-32.150163330355824</v>
      </c>
      <c r="BO57" s="14">
        <f t="shared" si="48"/>
        <v>-32.279691820705295</v>
      </c>
      <c r="BP57" s="15">
        <f t="shared" si="49"/>
        <v>-32.365595418412717</v>
      </c>
      <c r="BR57" s="9">
        <f t="shared" si="50"/>
        <v>-27.666287215947815</v>
      </c>
      <c r="BS57" s="10">
        <f t="shared" si="51"/>
        <v>-27.41168560192369</v>
      </c>
      <c r="BT57" s="11">
        <f t="shared" si="52"/>
        <v>-27.155411722597201</v>
      </c>
      <c r="BU57" s="12">
        <f t="shared" si="53"/>
        <v>-26.897491451012524</v>
      </c>
      <c r="BV57" s="13">
        <f t="shared" si="54"/>
        <v>-26.63795045540742</v>
      </c>
      <c r="BW57" s="14">
        <f t="shared" si="55"/>
        <v>-26.376814197745826</v>
      </c>
      <c r="BX57" s="15">
        <f t="shared" si="56"/>
        <v>-26.114107932484767</v>
      </c>
    </row>
    <row r="58" spans="1:76">
      <c r="A58">
        <f t="shared" si="57"/>
        <v>100</v>
      </c>
      <c r="B58">
        <f t="shared" si="7"/>
        <v>100</v>
      </c>
      <c r="E58" s="9">
        <f t="shared" si="58"/>
        <v>-10.400078861033252</v>
      </c>
      <c r="F58" s="10">
        <f t="shared" si="59"/>
        <v>-10.341933658697942</v>
      </c>
      <c r="G58" s="11">
        <f t="shared" si="60"/>
        <v>-10.327080111655027</v>
      </c>
      <c r="H58" s="12">
        <f t="shared" si="61"/>
        <v>-10.304562656274022</v>
      </c>
      <c r="I58" s="13">
        <f t="shared" si="62"/>
        <v>-10.289393221081731</v>
      </c>
      <c r="J58" s="14">
        <f t="shared" si="63"/>
        <v>-10.266402875805213</v>
      </c>
      <c r="K58" s="15">
        <f t="shared" si="64"/>
        <v>-10.250918814752261</v>
      </c>
      <c r="M58" s="9">
        <f t="shared" si="8"/>
        <v>-10.867514539413209</v>
      </c>
      <c r="N58" s="10">
        <f t="shared" si="9"/>
        <v>-10.889716408051713</v>
      </c>
      <c r="O58" s="11">
        <f t="shared" si="10"/>
        <v>-10.911080444334138</v>
      </c>
      <c r="P58" s="12">
        <f t="shared" si="11"/>
        <v>-10.931604843608195</v>
      </c>
      <c r="Q58" s="13">
        <f t="shared" si="12"/>
        <v>-10.951287871218497</v>
      </c>
      <c r="R58" s="14">
        <f t="shared" si="13"/>
        <v>-10.970127862762991</v>
      </c>
      <c r="S58" s="15">
        <f t="shared" si="14"/>
        <v>-10.988123224339665</v>
      </c>
      <c r="X58" s="9">
        <f t="shared" si="15"/>
        <v>-21.306473613830974</v>
      </c>
      <c r="Y58" s="10">
        <f t="shared" si="16"/>
        <v>-21.396709171766386</v>
      </c>
      <c r="Z58" s="11">
        <f t="shared" si="17"/>
        <v>-21.418593458906297</v>
      </c>
      <c r="AA58" s="12">
        <f t="shared" si="18"/>
        <v>-21.450912362989833</v>
      </c>
      <c r="AB58" s="13">
        <f t="shared" si="19"/>
        <v>-21.472119394574143</v>
      </c>
      <c r="AC58" s="14">
        <f t="shared" si="20"/>
        <v>-21.503420650351433</v>
      </c>
      <c r="AD58" s="15">
        <f t="shared" si="21"/>
        <v>-21.52394808919362</v>
      </c>
      <c r="AF58" s="9">
        <f t="shared" si="22"/>
        <v>-20.172414267078256</v>
      </c>
      <c r="AG58" s="10">
        <f t="shared" si="23"/>
        <v>-20.087945394349447</v>
      </c>
      <c r="AH58" s="11">
        <f t="shared" si="24"/>
        <v>-20.001927205814372</v>
      </c>
      <c r="AI58" s="12">
        <f t="shared" si="25"/>
        <v>-19.914368596715747</v>
      </c>
      <c r="AJ58" s="13">
        <f t="shared" si="26"/>
        <v>-19.825278587401399</v>
      </c>
      <c r="AK58" s="14">
        <f t="shared" si="27"/>
        <v>-19.734666320842408</v>
      </c>
      <c r="AL58" s="15">
        <f t="shared" si="28"/>
        <v>-19.642541060146929</v>
      </c>
      <c r="AQ58" s="9">
        <f t="shared" si="29"/>
        <v>-28.177118452367097</v>
      </c>
      <c r="AR58" s="10">
        <f t="shared" si="30"/>
        <v>-28.376516628062941</v>
      </c>
      <c r="AS58" s="11">
        <f t="shared" si="31"/>
        <v>-28.425482972728016</v>
      </c>
      <c r="AT58" s="12">
        <f t="shared" si="32"/>
        <v>-28.498265801542384</v>
      </c>
      <c r="AU58" s="13">
        <f t="shared" si="33"/>
        <v>-28.546341701810448</v>
      </c>
      <c r="AV58" s="14">
        <f t="shared" si="34"/>
        <v>-28.61778397136418</v>
      </c>
      <c r="AW58" s="15">
        <f t="shared" si="35"/>
        <v>-28.664962921309773</v>
      </c>
      <c r="AY58" s="9">
        <f t="shared" si="36"/>
        <v>-25.886793277212384</v>
      </c>
      <c r="AZ58" s="10">
        <f t="shared" si="37"/>
        <v>-25.726697049097666</v>
      </c>
      <c r="BA58" s="11">
        <f t="shared" si="38"/>
        <v>-25.56471649637308</v>
      </c>
      <c r="BB58" s="12">
        <f t="shared" si="39"/>
        <v>-25.400870294156729</v>
      </c>
      <c r="BC58" s="13">
        <f t="shared" si="40"/>
        <v>-25.235177169669608</v>
      </c>
      <c r="BD58" s="14">
        <f t="shared" si="41"/>
        <v>-25.067655896813282</v>
      </c>
      <c r="BE58" s="15">
        <f t="shared" si="42"/>
        <v>-24.898325290874812</v>
      </c>
      <c r="BJ58" s="9">
        <f t="shared" si="43"/>
        <v>-34.519975596447175</v>
      </c>
      <c r="BK58" s="10">
        <f t="shared" si="44"/>
        <v>-34.838367688459051</v>
      </c>
      <c r="BL58" s="11">
        <f t="shared" si="45"/>
        <v>-34.916944405933378</v>
      </c>
      <c r="BM58" s="12">
        <f t="shared" si="46"/>
        <v>-35.034035420778622</v>
      </c>
      <c r="BN58" s="13">
        <f t="shared" si="47"/>
        <v>-35.111577154387263</v>
      </c>
      <c r="BO58" s="14">
        <f t="shared" si="48"/>
        <v>-35.227106365395258</v>
      </c>
      <c r="BP58" s="15">
        <f t="shared" si="49"/>
        <v>-35.303600678024623</v>
      </c>
      <c r="BR58" s="9">
        <f t="shared" si="50"/>
        <v>-31.002591537792679</v>
      </c>
      <c r="BS58" s="10">
        <f t="shared" si="51"/>
        <v>-30.764223485005385</v>
      </c>
      <c r="BT58" s="11">
        <f t="shared" si="52"/>
        <v>-30.523853361657746</v>
      </c>
      <c r="BU58" s="12">
        <f t="shared" si="53"/>
        <v>-30.281510061990815</v>
      </c>
      <c r="BV58" s="13">
        <f t="shared" si="54"/>
        <v>-30.03722228956326</v>
      </c>
      <c r="BW58" s="14">
        <f t="shared" si="55"/>
        <v>-29.791018552576681</v>
      </c>
      <c r="BX58" s="15">
        <f t="shared" si="56"/>
        <v>-29.54292715955954</v>
      </c>
    </row>
    <row r="59" spans="1:76">
      <c r="A59">
        <f t="shared" si="57"/>
        <v>105</v>
      </c>
      <c r="B59">
        <f t="shared" si="7"/>
        <v>105</v>
      </c>
      <c r="E59" s="9">
        <f t="shared" si="58"/>
        <v>-13.726888874909916</v>
      </c>
      <c r="F59" s="10">
        <f t="shared" si="59"/>
        <v>-13.615787627475669</v>
      </c>
      <c r="G59" s="11">
        <f t="shared" si="60"/>
        <v>-13.587596935139375</v>
      </c>
      <c r="H59" s="12">
        <f t="shared" si="61"/>
        <v>-13.545000964164261</v>
      </c>
      <c r="I59" s="13">
        <f t="shared" si="62"/>
        <v>-13.516397609328665</v>
      </c>
      <c r="J59" s="14">
        <f t="shared" si="63"/>
        <v>-13.473184517555634</v>
      </c>
      <c r="K59" s="15">
        <f t="shared" si="64"/>
        <v>-13.444171004593766</v>
      </c>
      <c r="M59" s="9">
        <f t="shared" si="8"/>
        <v>-14.686797754314549</v>
      </c>
      <c r="N59" s="10">
        <f t="shared" si="9"/>
        <v>-14.737386306649013</v>
      </c>
      <c r="O59" s="11">
        <f t="shared" si="10"/>
        <v>-14.78683861409699</v>
      </c>
      <c r="P59" s="12">
        <f t="shared" si="11"/>
        <v>-14.835150170770756</v>
      </c>
      <c r="Q59" s="13">
        <f t="shared" si="12"/>
        <v>-14.882316567472683</v>
      </c>
      <c r="R59" s="14">
        <f t="shared" si="13"/>
        <v>-14.928333492574971</v>
      </c>
      <c r="S59" s="15">
        <f t="shared" si="14"/>
        <v>-14.973196732885357</v>
      </c>
      <c r="X59" s="9">
        <f t="shared" si="15"/>
        <v>-24.639655148290508</v>
      </c>
      <c r="Y59" s="10">
        <f t="shared" si="16"/>
        <v>-24.67944686692201</v>
      </c>
      <c r="Z59" s="11">
        <f t="shared" si="17"/>
        <v>-24.688595009530403</v>
      </c>
      <c r="AA59" s="12">
        <f t="shared" si="18"/>
        <v>-24.701716629000529</v>
      </c>
      <c r="AB59" s="13">
        <f t="shared" si="19"/>
        <v>-24.710063725456671</v>
      </c>
      <c r="AC59" s="14">
        <f t="shared" si="20"/>
        <v>-24.721982980357083</v>
      </c>
      <c r="AD59" s="15">
        <f t="shared" si="21"/>
        <v>-24.729527993191439</v>
      </c>
      <c r="AF59" s="9">
        <f t="shared" si="22"/>
        <v>-23.963603719719707</v>
      </c>
      <c r="AG59" s="10">
        <f t="shared" si="23"/>
        <v>-23.90482938515564</v>
      </c>
      <c r="AH59" s="11">
        <f t="shared" si="24"/>
        <v>-23.844148667387046</v>
      </c>
      <c r="AI59" s="12">
        <f t="shared" si="25"/>
        <v>-23.781568795020871</v>
      </c>
      <c r="AJ59" s="13">
        <f t="shared" si="26"/>
        <v>-23.717097199824966</v>
      </c>
      <c r="AK59" s="14">
        <f t="shared" si="27"/>
        <v>-23.650741513844924</v>
      </c>
      <c r="AL59" s="15">
        <f t="shared" si="28"/>
        <v>-23.582509566466896</v>
      </c>
      <c r="AQ59" s="9">
        <f t="shared" si="29"/>
        <v>-31.436544224675369</v>
      </c>
      <c r="AR59" s="10">
        <f t="shared" si="30"/>
        <v>-31.590767760849314</v>
      </c>
      <c r="AS59" s="11">
        <f t="shared" si="31"/>
        <v>-31.62829088645665</v>
      </c>
      <c r="AT59" s="12">
        <f t="shared" si="32"/>
        <v>-31.68379715728128</v>
      </c>
      <c r="AU59" s="13">
        <f t="shared" si="33"/>
        <v>-31.72028103355883</v>
      </c>
      <c r="AV59" s="14">
        <f t="shared" si="34"/>
        <v>-31.774224087580013</v>
      </c>
      <c r="AW59" s="15">
        <f t="shared" si="35"/>
        <v>-31.809662954755957</v>
      </c>
      <c r="AY59" s="9">
        <f t="shared" si="36"/>
        <v>-29.544406310055589</v>
      </c>
      <c r="AZ59" s="10">
        <f t="shared" si="37"/>
        <v>-29.405937171582018</v>
      </c>
      <c r="BA59" s="11">
        <f t="shared" si="38"/>
        <v>-29.265200561752042</v>
      </c>
      <c r="BB59" s="12">
        <f t="shared" si="39"/>
        <v>-29.122215698863528</v>
      </c>
      <c r="BC59" s="13">
        <f t="shared" si="40"/>
        <v>-28.977001944772663</v>
      </c>
      <c r="BD59" s="14">
        <f t="shared" si="41"/>
        <v>-28.829578796610097</v>
      </c>
      <c r="BE59" s="15">
        <f t="shared" si="42"/>
        <v>-28.679965878612219</v>
      </c>
      <c r="BJ59" s="9">
        <f t="shared" si="43"/>
        <v>-37.614867436063058</v>
      </c>
      <c r="BK59" s="10">
        <f t="shared" si="44"/>
        <v>-37.896666691800135</v>
      </c>
      <c r="BL59" s="11">
        <f t="shared" si="45"/>
        <v>-37.965927272688909</v>
      </c>
      <c r="BM59" s="12">
        <f t="shared" si="46"/>
        <v>-38.068917694945398</v>
      </c>
      <c r="BN59" s="13">
        <f t="shared" si="47"/>
        <v>-38.136974627497835</v>
      </c>
      <c r="BO59" s="14">
        <f t="shared" si="48"/>
        <v>-38.238149788202421</v>
      </c>
      <c r="BP59" s="15">
        <f t="shared" si="49"/>
        <v>-38.304990036155132</v>
      </c>
      <c r="BR59" s="9">
        <f t="shared" si="50"/>
        <v>-34.406260798556509</v>
      </c>
      <c r="BS59" s="10">
        <f t="shared" si="51"/>
        <v>-34.183890199218219</v>
      </c>
      <c r="BT59" s="11">
        <f t="shared" si="52"/>
        <v>-33.959148533402612</v>
      </c>
      <c r="BU59" s="12">
        <f t="shared" si="53"/>
        <v>-33.73206819871649</v>
      </c>
      <c r="BV59" s="13">
        <f t="shared" si="54"/>
        <v>-33.502681438687695</v>
      </c>
      <c r="BW59" s="14">
        <f t="shared" si="55"/>
        <v>-33.271020333347579</v>
      </c>
      <c r="BX59" s="15">
        <f t="shared" si="56"/>
        <v>-33.037116790335403</v>
      </c>
    </row>
    <row r="60" spans="1:76">
      <c r="A60">
        <f t="shared" si="57"/>
        <v>110</v>
      </c>
      <c r="B60">
        <f t="shared" si="7"/>
        <v>110</v>
      </c>
      <c r="E60" s="9">
        <f t="shared" si="58"/>
        <v>-17.02294318924119</v>
      </c>
      <c r="F60" s="10">
        <f t="shared" si="59"/>
        <v>-16.858259323535904</v>
      </c>
      <c r="G60" s="11">
        <f t="shared" si="60"/>
        <v>-16.81658079082969</v>
      </c>
      <c r="H60" s="12">
        <f t="shared" si="61"/>
        <v>-16.753684827585626</v>
      </c>
      <c r="I60" s="13">
        <f t="shared" si="62"/>
        <v>-16.711502982725346</v>
      </c>
      <c r="J60" s="14">
        <f t="shared" si="63"/>
        <v>-16.64785497205845</v>
      </c>
      <c r="K60" s="15">
        <f t="shared" si="64"/>
        <v>-16.605173716675861</v>
      </c>
      <c r="M60" s="9">
        <f t="shared" si="8"/>
        <v>-18.483301668746158</v>
      </c>
      <c r="N60" s="10">
        <f t="shared" si="9"/>
        <v>-18.562852406995926</v>
      </c>
      <c r="O60" s="11">
        <f t="shared" si="10"/>
        <v>-18.64097431200145</v>
      </c>
      <c r="P60" s="12">
        <f t="shared" si="11"/>
        <v>-18.717659607349717</v>
      </c>
      <c r="Q60" s="13">
        <f t="shared" si="12"/>
        <v>-18.792900635306104</v>
      </c>
      <c r="R60" s="14">
        <f t="shared" si="13"/>
        <v>-18.866689858781779</v>
      </c>
      <c r="S60" s="15">
        <f t="shared" si="14"/>
        <v>-18.93901986328968</v>
      </c>
      <c r="X60" s="9">
        <f t="shared" si="15"/>
        <v>-27.983996900868803</v>
      </c>
      <c r="Y60" s="10">
        <f t="shared" si="16"/>
        <v>-27.971983757237528</v>
      </c>
      <c r="Z60" s="11">
        <f t="shared" si="17"/>
        <v>-27.968053694696088</v>
      </c>
      <c r="AA60" s="12">
        <f t="shared" si="18"/>
        <v>-27.961463856262917</v>
      </c>
      <c r="AB60" s="13">
        <f t="shared" si="19"/>
        <v>-27.956607611567954</v>
      </c>
      <c r="AC60" s="14">
        <f t="shared" si="20"/>
        <v>-27.948628988714255</v>
      </c>
      <c r="AD60" s="15">
        <f t="shared" si="21"/>
        <v>-27.942847243840312</v>
      </c>
      <c r="AF60" s="9">
        <f t="shared" si="22"/>
        <v>-27.778084017134539</v>
      </c>
      <c r="AG60" s="10">
        <f t="shared" si="23"/>
        <v>-27.745623827347064</v>
      </c>
      <c r="AH60" s="11">
        <f t="shared" si="24"/>
        <v>-27.710878800360494</v>
      </c>
      <c r="AI60" s="12">
        <f t="shared" si="25"/>
        <v>-27.673853751802341</v>
      </c>
      <c r="AJ60" s="13">
        <f t="shared" si="26"/>
        <v>-27.634553802873512</v>
      </c>
      <c r="AK60" s="14">
        <f t="shared" si="27"/>
        <v>-27.592984377690424</v>
      </c>
      <c r="AL60" s="15">
        <f t="shared" si="28"/>
        <v>-27.549151200483237</v>
      </c>
      <c r="AQ60" s="9">
        <f t="shared" si="29"/>
        <v>-34.734024794097913</v>
      </c>
      <c r="AR60" s="10">
        <f t="shared" si="30"/>
        <v>-34.841629618575872</v>
      </c>
      <c r="AS60" s="11">
        <f t="shared" si="31"/>
        <v>-34.867338298139863</v>
      </c>
      <c r="AT60" s="12">
        <f t="shared" si="32"/>
        <v>-34.905003817880484</v>
      </c>
      <c r="AU60" s="13">
        <f t="shared" si="33"/>
        <v>-34.929514751651844</v>
      </c>
      <c r="AV60" s="14">
        <f t="shared" si="34"/>
        <v>-34.965380222742084</v>
      </c>
      <c r="AW60" s="15">
        <f t="shared" si="35"/>
        <v>-34.988688884709909</v>
      </c>
      <c r="AY60" s="9">
        <f t="shared" si="36"/>
        <v>-33.250103382209176</v>
      </c>
      <c r="AZ60" s="10">
        <f t="shared" si="37"/>
        <v>-33.133582204090189</v>
      </c>
      <c r="BA60" s="11">
        <f t="shared" si="38"/>
        <v>-33.014371264357301</v>
      </c>
      <c r="BB60" s="12">
        <f t="shared" si="39"/>
        <v>-32.892490018711655</v>
      </c>
      <c r="BC60" s="13">
        <f t="shared" si="40"/>
        <v>-32.767958202536818</v>
      </c>
      <c r="BD60" s="14">
        <f t="shared" si="41"/>
        <v>-32.640795819153496</v>
      </c>
      <c r="BE60" s="15">
        <f t="shared" si="42"/>
        <v>-32.511023128119199</v>
      </c>
      <c r="BJ60" s="9">
        <f t="shared" si="43"/>
        <v>-40.76804149869691</v>
      </c>
      <c r="BK60" s="10">
        <f t="shared" si="44"/>
        <v>-41.012324321746306</v>
      </c>
      <c r="BL60" s="11">
        <f t="shared" si="45"/>
        <v>-41.072019113695326</v>
      </c>
      <c r="BM60" s="12">
        <f t="shared" si="46"/>
        <v>-41.160520530381753</v>
      </c>
      <c r="BN60" s="13">
        <f t="shared" si="47"/>
        <v>-41.218824482494654</v>
      </c>
      <c r="BO60" s="14">
        <f t="shared" si="48"/>
        <v>-41.305229563529302</v>
      </c>
      <c r="BP60" s="15">
        <f t="shared" si="49"/>
        <v>-41.362129279929164</v>
      </c>
      <c r="BR60" s="9">
        <f t="shared" si="50"/>
        <v>-37.870698063585664</v>
      </c>
      <c r="BS60" s="10">
        <f t="shared" si="51"/>
        <v>-37.664078899176651</v>
      </c>
      <c r="BT60" s="11">
        <f t="shared" si="52"/>
        <v>-37.454674688145047</v>
      </c>
      <c r="BU60" s="12">
        <f t="shared" si="53"/>
        <v>-37.242521906532296</v>
      </c>
      <c r="BV60" s="13">
        <f t="shared" si="54"/>
        <v>-37.027656946073357</v>
      </c>
      <c r="BW60" s="14">
        <f t="shared" si="55"/>
        <v>-36.81011609778534</v>
      </c>
      <c r="BX60" s="15">
        <f t="shared" si="56"/>
        <v>-36.589935536287165</v>
      </c>
    </row>
    <row r="61" spans="1:76">
      <c r="A61">
        <f t="shared" si="57"/>
        <v>115</v>
      </c>
      <c r="B61">
        <f t="shared" si="7"/>
        <v>115</v>
      </c>
      <c r="E61" s="9">
        <f t="shared" si="58"/>
        <v>-20.272170569799922</v>
      </c>
      <c r="F61" s="10">
        <f t="shared" si="59"/>
        <v>-20.053179410758432</v>
      </c>
      <c r="G61" s="11">
        <f t="shared" si="60"/>
        <v>-19.997840934580161</v>
      </c>
      <c r="H61" s="12">
        <f t="shared" si="61"/>
        <v>-19.914393739008982</v>
      </c>
      <c r="I61" s="13">
        <f t="shared" si="62"/>
        <v>-19.858470560550433</v>
      </c>
      <c r="J61" s="14">
        <f t="shared" si="63"/>
        <v>-19.774150407476785</v>
      </c>
      <c r="K61" s="15">
        <f t="shared" si="64"/>
        <v>-19.717647993499146</v>
      </c>
      <c r="M61" s="9">
        <f t="shared" si="8"/>
        <v>-22.242970226504877</v>
      </c>
      <c r="N61" s="10">
        <f t="shared" si="9"/>
        <v>-22.352241237697999</v>
      </c>
      <c r="O61" s="11">
        <f t="shared" si="10"/>
        <v>-22.459802439346628</v>
      </c>
      <c r="P61" s="12">
        <f t="shared" si="11"/>
        <v>-22.565642035714106</v>
      </c>
      <c r="Q61" s="13">
        <f t="shared" si="12"/>
        <v>-22.669748360347274</v>
      </c>
      <c r="R61" s="14">
        <f t="shared" si="13"/>
        <v>-22.77210987973849</v>
      </c>
      <c r="S61" s="15">
        <f t="shared" si="14"/>
        <v>-22.872715196997792</v>
      </c>
      <c r="X61" s="9">
        <f t="shared" si="15"/>
        <v>-31.325757351761119</v>
      </c>
      <c r="Y61" s="10">
        <f t="shared" si="16"/>
        <v>-31.260319784140222</v>
      </c>
      <c r="Z61" s="11">
        <f t="shared" si="17"/>
        <v>-31.24290764090027</v>
      </c>
      <c r="AA61" s="12">
        <f t="shared" si="18"/>
        <v>-31.216001636859207</v>
      </c>
      <c r="AB61" s="13">
        <f t="shared" si="19"/>
        <v>-31.197539772908961</v>
      </c>
      <c r="AC61" s="14">
        <f t="shared" si="20"/>
        <v>-31.169061356526075</v>
      </c>
      <c r="AD61" s="15">
        <f t="shared" si="21"/>
        <v>-31.14955270032792</v>
      </c>
      <c r="AF61" s="9">
        <f t="shared" si="22"/>
        <v>-31.605422186744157</v>
      </c>
      <c r="AG61" s="10">
        <f t="shared" si="23"/>
        <v>-31.600127992353841</v>
      </c>
      <c r="AH61" s="11">
        <f t="shared" si="24"/>
        <v>-31.592149959433257</v>
      </c>
      <c r="AI61" s="12">
        <f t="shared" si="25"/>
        <v>-31.581489384767099</v>
      </c>
      <c r="AJ61" s="13">
        <f t="shared" si="26"/>
        <v>-31.568148000154544</v>
      </c>
      <c r="AK61" s="14">
        <f t="shared" si="27"/>
        <v>-31.552127971250954</v>
      </c>
      <c r="AL61" s="15">
        <f t="shared" si="28"/>
        <v>-31.533431896121602</v>
      </c>
      <c r="AQ61" s="9">
        <f t="shared" si="29"/>
        <v>-38.059027577172976</v>
      </c>
      <c r="AR61" s="10">
        <f t="shared" si="30"/>
        <v>-38.118255707300321</v>
      </c>
      <c r="AS61" s="11">
        <f t="shared" si="31"/>
        <v>-38.131701004700112</v>
      </c>
      <c r="AT61" s="12">
        <f t="shared" si="32"/>
        <v>-38.150845716263483</v>
      </c>
      <c r="AU61" s="13">
        <f t="shared" si="33"/>
        <v>-38.1629260572509</v>
      </c>
      <c r="AV61" s="14">
        <f t="shared" si="34"/>
        <v>-38.180021323007587</v>
      </c>
      <c r="AW61" s="15">
        <f t="shared" si="35"/>
        <v>-38.190734093618978</v>
      </c>
      <c r="AY61" s="9">
        <f t="shared" si="36"/>
        <v>-36.996386528754634</v>
      </c>
      <c r="AZ61" s="10">
        <f t="shared" si="37"/>
        <v>-36.902296740366971</v>
      </c>
      <c r="BA61" s="11">
        <f t="shared" si="38"/>
        <v>-36.805050597099175</v>
      </c>
      <c r="BB61" s="12">
        <f t="shared" si="39"/>
        <v>-36.704667233317693</v>
      </c>
      <c r="BC61" s="13">
        <f t="shared" si="40"/>
        <v>-36.601166261193235</v>
      </c>
      <c r="BD61" s="14">
        <f t="shared" si="41"/>
        <v>-36.494567755043541</v>
      </c>
      <c r="BE61" s="15">
        <f t="shared" si="42"/>
        <v>-36.384892235535396</v>
      </c>
      <c r="BJ61" s="9">
        <f t="shared" si="43"/>
        <v>-43.972382261905892</v>
      </c>
      <c r="BK61" s="10">
        <f t="shared" si="44"/>
        <v>-44.178016629563963</v>
      </c>
      <c r="BL61" s="11">
        <f t="shared" si="45"/>
        <v>-44.227841405063238</v>
      </c>
      <c r="BM61" s="12">
        <f t="shared" si="46"/>
        <v>-44.301381782534023</v>
      </c>
      <c r="BN61" s="13">
        <f t="shared" si="47"/>
        <v>-44.349607691367176</v>
      </c>
      <c r="BO61" s="14">
        <f t="shared" si="48"/>
        <v>-44.420739697008131</v>
      </c>
      <c r="BP61" s="15">
        <f t="shared" si="49"/>
        <v>-44.467353381583408</v>
      </c>
      <c r="BR61" s="9">
        <f t="shared" si="50"/>
        <v>-41.389812994739657</v>
      </c>
      <c r="BS61" s="10">
        <f t="shared" si="51"/>
        <v>-41.198694362118971</v>
      </c>
      <c r="BT61" s="11">
        <f t="shared" si="52"/>
        <v>-41.004323753919792</v>
      </c>
      <c r="BU61" s="12">
        <f t="shared" si="53"/>
        <v>-40.806742422714429</v>
      </c>
      <c r="BV61" s="13">
        <f t="shared" si="54"/>
        <v>-40.605991656190035</v>
      </c>
      <c r="BW61" s="14">
        <f t="shared" si="55"/>
        <v>-40.402112750382919</v>
      </c>
      <c r="BX61" s="15">
        <f t="shared" si="56"/>
        <v>-40.195146983901942</v>
      </c>
    </row>
    <row r="62" spans="1:76">
      <c r="A62">
        <f t="shared" si="57"/>
        <v>120</v>
      </c>
      <c r="B62">
        <f t="shared" si="7"/>
        <v>120</v>
      </c>
      <c r="E62" s="9">
        <f t="shared" si="58"/>
        <v>-23.457050565098651</v>
      </c>
      <c r="F62" s="10">
        <f t="shared" si="59"/>
        <v>-23.182973501527556</v>
      </c>
      <c r="G62" s="11">
        <f t="shared" si="60"/>
        <v>-23.113793019736111</v>
      </c>
      <c r="H62" s="12">
        <f t="shared" si="61"/>
        <v>-23.009531051709558</v>
      </c>
      <c r="I62" s="13">
        <f t="shared" si="62"/>
        <v>-22.939697252562059</v>
      </c>
      <c r="J62" s="14">
        <f t="shared" si="63"/>
        <v>-22.834460698221452</v>
      </c>
      <c r="K62" s="15">
        <f t="shared" si="64"/>
        <v>-22.763980769319346</v>
      </c>
      <c r="M62" s="9">
        <f t="shared" si="8"/>
        <v>-25.950044841326452</v>
      </c>
      <c r="N62" s="10">
        <f t="shared" si="9"/>
        <v>-26.089974570880816</v>
      </c>
      <c r="O62" s="11">
        <f t="shared" si="10"/>
        <v>-26.227932686696452</v>
      </c>
      <c r="P62" s="12">
        <f t="shared" si="11"/>
        <v>-26.363902458104477</v>
      </c>
      <c r="Q62" s="13">
        <f t="shared" si="12"/>
        <v>-26.497867272497185</v>
      </c>
      <c r="R62" s="14">
        <f t="shared" si="13"/>
        <v>-26.629810641355196</v>
      </c>
      <c r="S62" s="15">
        <f t="shared" si="14"/>
        <v>-26.759716206345786</v>
      </c>
      <c r="X62" s="9">
        <f t="shared" si="15"/>
        <v>-34.649804674563249</v>
      </c>
      <c r="Y62" s="10">
        <f t="shared" si="16"/>
        <v>-34.529040018160558</v>
      </c>
      <c r="Z62" s="11">
        <f t="shared" si="17"/>
        <v>-34.497674906015867</v>
      </c>
      <c r="AA62" s="12">
        <f t="shared" si="18"/>
        <v>-34.449750409690083</v>
      </c>
      <c r="AB62" s="13">
        <f t="shared" si="19"/>
        <v>-34.417217529052465</v>
      </c>
      <c r="AC62" s="14">
        <f t="shared" si="20"/>
        <v>-34.367545708581623</v>
      </c>
      <c r="AD62" s="15">
        <f t="shared" si="21"/>
        <v>-34.333850872004412</v>
      </c>
      <c r="AF62" s="9">
        <f t="shared" si="22"/>
        <v>-35.434329710878608</v>
      </c>
      <c r="AG62" s="10">
        <f t="shared" si="23"/>
        <v>-35.457332160858435</v>
      </c>
      <c r="AH62" s="11">
        <f t="shared" si="24"/>
        <v>-35.477232951862241</v>
      </c>
      <c r="AI62" s="12">
        <f t="shared" si="25"/>
        <v>-35.494028267050787</v>
      </c>
      <c r="AJ62" s="13">
        <f t="shared" si="26"/>
        <v>-35.507714881086663</v>
      </c>
      <c r="AK62" s="14">
        <f t="shared" si="27"/>
        <v>-35.518290162835953</v>
      </c>
      <c r="AL62" s="15">
        <f t="shared" si="28"/>
        <v>-35.525752077576655</v>
      </c>
      <c r="AQ62" s="9">
        <f t="shared" si="29"/>
        <v>-41.400198534641348</v>
      </c>
      <c r="AR62" s="10">
        <f t="shared" si="30"/>
        <v>-41.408898621586943</v>
      </c>
      <c r="AS62" s="11">
        <f t="shared" si="31"/>
        <v>-41.409534644587673</v>
      </c>
      <c r="AT62" s="12">
        <f t="shared" si="32"/>
        <v>-41.409334261632665</v>
      </c>
      <c r="AU62" s="13">
        <f t="shared" si="33"/>
        <v>-41.408431069270975</v>
      </c>
      <c r="AV62" s="14">
        <f t="shared" si="34"/>
        <v>-41.405921966841881</v>
      </c>
      <c r="AW62" s="15">
        <f t="shared" si="35"/>
        <v>-41.403479788355121</v>
      </c>
      <c r="AY62" s="9">
        <f t="shared" si="36"/>
        <v>-40.775797349647618</v>
      </c>
      <c r="AZ62" s="10">
        <f t="shared" si="37"/>
        <v>-40.704833329529116</v>
      </c>
      <c r="BA62" s="11">
        <f t="shared" si="38"/>
        <v>-40.630195268619893</v>
      </c>
      <c r="BB62" s="12">
        <f t="shared" si="39"/>
        <v>-40.551901028765265</v>
      </c>
      <c r="BC62" s="13">
        <f t="shared" si="40"/>
        <v>-40.469969234572751</v>
      </c>
      <c r="BD62" s="14">
        <f t="shared" si="41"/>
        <v>-40.384419253908924</v>
      </c>
      <c r="BE62" s="15">
        <f t="shared" si="42"/>
        <v>-40.295271177851966</v>
      </c>
      <c r="BJ62" s="9">
        <f t="shared" si="43"/>
        <v>-47.22077508699229</v>
      </c>
      <c r="BK62" s="10">
        <f t="shared" si="44"/>
        <v>-47.386339174911186</v>
      </c>
      <c r="BL62" s="11">
        <f t="shared" si="45"/>
        <v>-47.425914120590271</v>
      </c>
      <c r="BM62" s="12">
        <f t="shared" si="46"/>
        <v>-47.483905841086475</v>
      </c>
      <c r="BN62" s="13">
        <f t="shared" si="47"/>
        <v>-47.521650172847053</v>
      </c>
      <c r="BO62" s="14">
        <f t="shared" si="48"/>
        <v>-47.576886376657974</v>
      </c>
      <c r="BP62" s="15">
        <f t="shared" si="49"/>
        <v>-47.612787418140783</v>
      </c>
      <c r="BR62" s="9">
        <f t="shared" si="50"/>
        <v>-44.957975763777988</v>
      </c>
      <c r="BS62" s="10">
        <f t="shared" si="51"/>
        <v>-44.782105257561824</v>
      </c>
      <c r="BT62" s="11">
        <f t="shared" si="52"/>
        <v>-44.602451893726453</v>
      </c>
      <c r="BU62" s="12">
        <f t="shared" si="53"/>
        <v>-44.419062569002683</v>
      </c>
      <c r="BV62" s="13">
        <f t="shared" si="54"/>
        <v>-44.231984410364085</v>
      </c>
      <c r="BW62" s="14">
        <f t="shared" si="55"/>
        <v>-44.041264732768106</v>
      </c>
      <c r="BX62" s="15">
        <f t="shared" si="56"/>
        <v>-43.846950998184035</v>
      </c>
    </row>
    <row r="63" spans="1:76">
      <c r="A63">
        <f t="shared" si="57"/>
        <v>125</v>
      </c>
      <c r="B63">
        <f t="shared" si="7"/>
        <v>125</v>
      </c>
      <c r="E63" s="9">
        <f t="shared" si="58"/>
        <v>-26.558186016898251</v>
      </c>
      <c r="F63" s="10">
        <f t="shared" si="59"/>
        <v>-26.228260204974941</v>
      </c>
      <c r="G63" s="11">
        <f t="shared" si="60"/>
        <v>-26.145063538922678</v>
      </c>
      <c r="H63" s="12">
        <f t="shared" si="61"/>
        <v>-26.019738010418877</v>
      </c>
      <c r="I63" s="13">
        <f t="shared" si="62"/>
        <v>-25.935836078345762</v>
      </c>
      <c r="J63" s="14">
        <f t="shared" si="63"/>
        <v>-25.809459416616587</v>
      </c>
      <c r="K63" s="15">
        <f t="shared" si="64"/>
        <v>-25.724861233392591</v>
      </c>
      <c r="M63" s="9">
        <f t="shared" si="8"/>
        <v>-29.586414190908194</v>
      </c>
      <c r="N63" s="10">
        <f t="shared" si="9"/>
        <v>-29.758109168245067</v>
      </c>
      <c r="O63" s="11">
        <f t="shared" si="10"/>
        <v>-29.927599897637954</v>
      </c>
      <c r="P63" s="12">
        <f t="shared" si="11"/>
        <v>-30.094863675302861</v>
      </c>
      <c r="Q63" s="13">
        <f t="shared" si="12"/>
        <v>-30.259877866981999</v>
      </c>
      <c r="R63" s="14">
        <f t="shared" si="13"/>
        <v>-30.422619916853197</v>
      </c>
      <c r="S63" s="15">
        <f t="shared" si="14"/>
        <v>-30.583067356642143</v>
      </c>
      <c r="X63" s="9">
        <f t="shared" si="15"/>
        <v>-37.939003909414481</v>
      </c>
      <c r="Y63" s="10">
        <f t="shared" si="16"/>
        <v>-37.760716060913921</v>
      </c>
      <c r="Z63" s="11">
        <f t="shared" si="17"/>
        <v>-37.714858823840537</v>
      </c>
      <c r="AA63" s="12">
        <f t="shared" si="18"/>
        <v>-37.64511499728922</v>
      </c>
      <c r="AB63" s="13">
        <f t="shared" si="19"/>
        <v>-37.597982645710658</v>
      </c>
      <c r="AC63" s="14">
        <f t="shared" si="20"/>
        <v>-37.526333189757018</v>
      </c>
      <c r="AD63" s="15">
        <f t="shared" si="21"/>
        <v>-37.477935153828369</v>
      </c>
      <c r="AF63" s="9">
        <f t="shared" si="22"/>
        <v>-39.252061578230062</v>
      </c>
      <c r="AG63" s="10">
        <f t="shared" si="23"/>
        <v>-39.304826727099368</v>
      </c>
      <c r="AH63" s="11">
        <f t="shared" si="24"/>
        <v>-39.354057148760333</v>
      </c>
      <c r="AI63" s="12">
        <f t="shared" si="25"/>
        <v>-39.399741654029604</v>
      </c>
      <c r="AJ63" s="13">
        <f t="shared" si="26"/>
        <v>-39.441869822025595</v>
      </c>
      <c r="AK63" s="14">
        <f t="shared" si="27"/>
        <v>-39.48043201084306</v>
      </c>
      <c r="AL63" s="15">
        <f t="shared" si="28"/>
        <v>-39.515419367490438</v>
      </c>
      <c r="AQ63" s="9">
        <f t="shared" si="29"/>
        <v>-44.744846191815334</v>
      </c>
      <c r="AR63" s="10">
        <f t="shared" si="30"/>
        <v>-44.700381248844913</v>
      </c>
      <c r="AS63" s="11">
        <f t="shared" si="31"/>
        <v>-44.687543177973154</v>
      </c>
      <c r="AT63" s="12">
        <f t="shared" si="32"/>
        <v>-44.666997104562441</v>
      </c>
      <c r="AU63" s="13">
        <f t="shared" si="33"/>
        <v>-44.652441363677795</v>
      </c>
      <c r="AV63" s="14">
        <f t="shared" si="34"/>
        <v>-44.629321947479262</v>
      </c>
      <c r="AW63" s="15">
        <f t="shared" si="35"/>
        <v>-44.613052868854169</v>
      </c>
      <c r="AY63" s="9">
        <f t="shared" si="36"/>
        <v>-44.580639252974407</v>
      </c>
      <c r="AZ63" s="10">
        <f t="shared" si="37"/>
        <v>-44.533771654325172</v>
      </c>
      <c r="BA63" s="11">
        <f t="shared" si="38"/>
        <v>-44.48265249256351</v>
      </c>
      <c r="BB63" s="12">
        <f t="shared" si="39"/>
        <v>-44.427296784671391</v>
      </c>
      <c r="BC63" s="13">
        <f t="shared" si="40"/>
        <v>-44.367720717765081</v>
      </c>
      <c r="BD63" s="14">
        <f t="shared" si="41"/>
        <v>-44.303941627159212</v>
      </c>
      <c r="BE63" s="15">
        <f t="shared" si="42"/>
        <v>-44.235977973079493</v>
      </c>
      <c r="BJ63" s="9">
        <f t="shared" si="43"/>
        <v>-50.505916788643681</v>
      </c>
      <c r="BK63" s="10">
        <f t="shared" si="44"/>
        <v>-50.629590380528654</v>
      </c>
      <c r="BL63" s="11">
        <f t="shared" si="45"/>
        <v>-50.658432151265316</v>
      </c>
      <c r="BM63" s="12">
        <f t="shared" si="46"/>
        <v>-50.70012958128364</v>
      </c>
      <c r="BN63" s="13">
        <f t="shared" si="47"/>
        <v>-50.726881733525225</v>
      </c>
      <c r="BO63" s="14">
        <f t="shared" si="48"/>
        <v>-50.765436372707491</v>
      </c>
      <c r="BP63" s="15">
        <f t="shared" si="49"/>
        <v>-50.790087938833835</v>
      </c>
      <c r="BR63" s="9">
        <f t="shared" si="50"/>
        <v>-48.569971951060673</v>
      </c>
      <c r="BS63" s="10">
        <f t="shared" si="51"/>
        <v>-48.409097364607668</v>
      </c>
      <c r="BT63" s="11">
        <f t="shared" si="52"/>
        <v>-48.243829704580982</v>
      </c>
      <c r="BU63" s="12">
        <f t="shared" si="53"/>
        <v>-48.074222622052034</v>
      </c>
      <c r="BV63" s="13">
        <f t="shared" si="54"/>
        <v>-47.900330311636935</v>
      </c>
      <c r="BW63" s="14">
        <f t="shared" si="55"/>
        <v>-47.722207445642276</v>
      </c>
      <c r="BX63" s="15">
        <f t="shared" si="56"/>
        <v>-47.539909109793911</v>
      </c>
    </row>
    <row r="64" spans="1:76">
      <c r="A64">
        <f t="shared" si="57"/>
        <v>130</v>
      </c>
      <c r="B64">
        <f t="shared" si="7"/>
        <v>130</v>
      </c>
      <c r="E64" s="9">
        <f t="shared" si="58"/>
        <v>-29.553860101005501</v>
      </c>
      <c r="F64" s="10">
        <f t="shared" si="59"/>
        <v>-29.167442092088759</v>
      </c>
      <c r="G64" s="11">
        <f t="shared" si="60"/>
        <v>-29.070089178236369</v>
      </c>
      <c r="H64" s="12">
        <f t="shared" si="61"/>
        <v>-28.923505610593434</v>
      </c>
      <c r="I64" s="13">
        <f t="shared" si="62"/>
        <v>-28.825416307657115</v>
      </c>
      <c r="J64" s="14">
        <f t="shared" si="63"/>
        <v>-28.677736305935547</v>
      </c>
      <c r="K64" s="15">
        <f t="shared" si="64"/>
        <v>-28.578921462448985</v>
      </c>
      <c r="M64" s="9">
        <f t="shared" si="8"/>
        <v>-33.130837993328065</v>
      </c>
      <c r="N64" s="10">
        <f t="shared" si="9"/>
        <v>-33.335542847437104</v>
      </c>
      <c r="O64" s="11">
        <f t="shared" si="10"/>
        <v>-33.537853132042848</v>
      </c>
      <c r="P64" s="12">
        <f t="shared" si="11"/>
        <v>-33.737739111027324</v>
      </c>
      <c r="Q64" s="13">
        <f t="shared" si="12"/>
        <v>-33.935171010686631</v>
      </c>
      <c r="R64" s="14">
        <f t="shared" si="13"/>
        <v>-34.130119031424037</v>
      </c>
      <c r="S64" s="15">
        <f t="shared" si="14"/>
        <v>-34.32255335988328</v>
      </c>
      <c r="X64" s="9">
        <f t="shared" si="15"/>
        <v>-41.173441836479007</v>
      </c>
      <c r="Y64" s="10">
        <f t="shared" si="16"/>
        <v>-40.935157257077968</v>
      </c>
      <c r="Z64" s="11">
        <f t="shared" si="17"/>
        <v>-40.874206270398282</v>
      </c>
      <c r="AA64" s="12">
        <f t="shared" si="18"/>
        <v>-40.781753784610842</v>
      </c>
      <c r="AB64" s="13">
        <f t="shared" si="19"/>
        <v>-40.719438001324257</v>
      </c>
      <c r="AC64" s="14">
        <f t="shared" si="20"/>
        <v>-40.624948668836957</v>
      </c>
      <c r="AD64" s="15">
        <f t="shared" si="21"/>
        <v>-40.561281917264566</v>
      </c>
      <c r="AF64" s="9">
        <f t="shared" si="22"/>
        <v>-43.043592437147822</v>
      </c>
      <c r="AG64" s="10">
        <f t="shared" si="23"/>
        <v>-43.127989667656855</v>
      </c>
      <c r="AH64" s="11">
        <f t="shared" si="24"/>
        <v>-43.208410886344573</v>
      </c>
      <c r="AI64" s="12">
        <f t="shared" si="25"/>
        <v>-43.284834381696193</v>
      </c>
      <c r="AJ64" s="13">
        <f t="shared" si="26"/>
        <v>-43.357239385859906</v>
      </c>
      <c r="AK64" s="14">
        <f t="shared" si="27"/>
        <v>-43.42560610007456</v>
      </c>
      <c r="AL64" s="15">
        <f t="shared" si="28"/>
        <v>-43.489915719184594</v>
      </c>
      <c r="AQ64" s="9">
        <f t="shared" si="29"/>
        <v>-48.078218889831199</v>
      </c>
      <c r="AR64" s="10">
        <f t="shared" si="30"/>
        <v>-47.977361170839416</v>
      </c>
      <c r="AS64" s="11">
        <f t="shared" si="31"/>
        <v>-47.95024086967944</v>
      </c>
      <c r="AT64" s="12">
        <f t="shared" si="32"/>
        <v>-47.90813709643156</v>
      </c>
      <c r="AU64" s="13">
        <f t="shared" si="33"/>
        <v>-47.879121322457372</v>
      </c>
      <c r="AV64" s="14">
        <f t="shared" si="34"/>
        <v>-47.8341818168619</v>
      </c>
      <c r="AW64" s="15">
        <f t="shared" si="35"/>
        <v>-47.803280676855039</v>
      </c>
      <c r="AY64" s="9">
        <f t="shared" si="36"/>
        <v>-48.402587319964539</v>
      </c>
      <c r="AZ64" s="10">
        <f t="shared" si="37"/>
        <v>-48.38115458148215</v>
      </c>
      <c r="BA64" s="11">
        <f t="shared" si="38"/>
        <v>-48.354821922391395</v>
      </c>
      <c r="BB64" s="12">
        <f t="shared" si="39"/>
        <v>-48.323598934597079</v>
      </c>
      <c r="BC64" s="13">
        <f t="shared" si="40"/>
        <v>-48.287496960346694</v>
      </c>
      <c r="BD64" s="14">
        <f t="shared" si="41"/>
        <v>-48.246529072482289</v>
      </c>
      <c r="BE64" s="15">
        <f t="shared" si="42"/>
        <v>-48.200710051803789</v>
      </c>
      <c r="BJ64" s="9">
        <f t="shared" si="43"/>
        <v>-53.820035643000125</v>
      </c>
      <c r="BK64" s="10">
        <f t="shared" si="44"/>
        <v>-53.899449647587943</v>
      </c>
      <c r="BL64" s="11">
        <f t="shared" si="45"/>
        <v>-53.916932851288927</v>
      </c>
      <c r="BM64" s="12">
        <f t="shared" si="46"/>
        <v>-53.941374041547604</v>
      </c>
      <c r="BN64" s="13">
        <f t="shared" si="47"/>
        <v>-53.956477177882732</v>
      </c>
      <c r="BO64" s="14">
        <f t="shared" si="48"/>
        <v>-53.977342349348255</v>
      </c>
      <c r="BP64" s="15">
        <f t="shared" si="49"/>
        <v>-53.990057801161633</v>
      </c>
      <c r="BR64" s="9">
        <f t="shared" si="50"/>
        <v>-52.220959135509226</v>
      </c>
      <c r="BS64" s="10">
        <f t="shared" si="51"/>
        <v>-52.0748282524589</v>
      </c>
      <c r="BT64" s="11">
        <f t="shared" si="52"/>
        <v>-51.923592852230165</v>
      </c>
      <c r="BU64" s="12">
        <f t="shared" si="53"/>
        <v>-51.767314811297489</v>
      </c>
      <c r="BV64" s="13">
        <f t="shared" si="54"/>
        <v>-51.606057052940287</v>
      </c>
      <c r="BW64" s="14">
        <f t="shared" si="55"/>
        <v>-51.439883444520063</v>
      </c>
      <c r="BX64" s="15">
        <f t="shared" si="56"/>
        <v>-51.26885869651008</v>
      </c>
    </row>
    <row r="65" spans="1:76">
      <c r="A65">
        <f t="shared" si="57"/>
        <v>135</v>
      </c>
      <c r="B65">
        <f t="shared" si="7"/>
        <v>135</v>
      </c>
      <c r="E65" s="9">
        <f t="shared" si="58"/>
        <v>-32.419604545089321</v>
      </c>
      <c r="F65" s="10">
        <f t="shared" si="59"/>
        <v>-31.976317740381724</v>
      </c>
      <c r="G65" s="11">
        <f t="shared" si="60"/>
        <v>-31.864739556348674</v>
      </c>
      <c r="H65" s="12">
        <f t="shared" si="61"/>
        <v>-31.696813173592219</v>
      </c>
      <c r="I65" s="13">
        <f t="shared" si="62"/>
        <v>-31.584492453001591</v>
      </c>
      <c r="J65" s="14">
        <f t="shared" si="63"/>
        <v>-31.415461684385487</v>
      </c>
      <c r="K65" s="15">
        <f t="shared" si="64"/>
        <v>-31.302410953223369</v>
      </c>
      <c r="M65" s="9">
        <f t="shared" si="8"/>
        <v>-36.558028199277778</v>
      </c>
      <c r="N65" s="10">
        <f t="shared" si="9"/>
        <v>-36.797065909028539</v>
      </c>
      <c r="O65" s="11">
        <f t="shared" si="10"/>
        <v>-37.033577911293563</v>
      </c>
      <c r="P65" s="12">
        <f t="shared" si="11"/>
        <v>-37.267526554056182</v>
      </c>
      <c r="Q65" s="13">
        <f t="shared" si="12"/>
        <v>-37.498873956184241</v>
      </c>
      <c r="R65" s="14">
        <f t="shared" si="13"/>
        <v>-37.727582020357758</v>
      </c>
      <c r="S65" s="15">
        <f t="shared" si="14"/>
        <v>-37.953612446797074</v>
      </c>
      <c r="X65" s="9">
        <f t="shared" si="15"/>
        <v>-44.329448982451481</v>
      </c>
      <c r="Y65" s="10">
        <f t="shared" si="16"/>
        <v>-44.028479927302691</v>
      </c>
      <c r="Z65" s="11">
        <f t="shared" si="17"/>
        <v>-43.951789202054677</v>
      </c>
      <c r="AA65" s="12">
        <f t="shared" si="18"/>
        <v>-43.835679050187643</v>
      </c>
      <c r="AB65" s="13">
        <f t="shared" si="19"/>
        <v>-43.757560656458843</v>
      </c>
      <c r="AC65" s="14">
        <f t="shared" si="20"/>
        <v>-43.639323205676128</v>
      </c>
      <c r="AD65" s="15">
        <f t="shared" si="21"/>
        <v>-43.559796088967907</v>
      </c>
      <c r="AF65" s="9">
        <f t="shared" si="22"/>
        <v>-46.790450014768666</v>
      </c>
      <c r="AG65" s="10">
        <f t="shared" si="23"/>
        <v>-46.908829950307208</v>
      </c>
      <c r="AH65" s="11">
        <f t="shared" si="24"/>
        <v>-47.022797605887718</v>
      </c>
      <c r="AI65" s="12">
        <f t="shared" si="25"/>
        <v>-47.132316439278597</v>
      </c>
      <c r="AJ65" s="13">
        <f t="shared" si="26"/>
        <v>-47.237350972966041</v>
      </c>
      <c r="AK65" s="14">
        <f t="shared" si="27"/>
        <v>-47.337866844729753</v>
      </c>
      <c r="AL65" s="15">
        <f t="shared" si="28"/>
        <v>-47.433830857518018</v>
      </c>
      <c r="AQ65" s="9">
        <f t="shared" si="29"/>
        <v>-51.382469628387476</v>
      </c>
      <c r="AR65" s="10">
        <f t="shared" si="30"/>
        <v>-51.221288039145669</v>
      </c>
      <c r="AS65" s="11">
        <f t="shared" si="31"/>
        <v>-51.178909092706427</v>
      </c>
      <c r="AT65" s="12">
        <f t="shared" si="32"/>
        <v>-51.113789202837133</v>
      </c>
      <c r="AU65" s="13">
        <f t="shared" si="33"/>
        <v>-51.069345762633766</v>
      </c>
      <c r="AV65" s="14">
        <f t="shared" si="34"/>
        <v>-51.001142544884637</v>
      </c>
      <c r="AW65" s="15">
        <f t="shared" si="35"/>
        <v>-50.954652641563683</v>
      </c>
      <c r="AY65" s="9">
        <f t="shared" si="36"/>
        <v>-52.232103403067164</v>
      </c>
      <c r="AZ65" s="10">
        <f t="shared" si="37"/>
        <v>-52.237944030770031</v>
      </c>
      <c r="BA65" s="11">
        <f t="shared" si="38"/>
        <v>-52.238152217975347</v>
      </c>
      <c r="BB65" s="12">
        <f t="shared" si="39"/>
        <v>-52.232727869581716</v>
      </c>
      <c r="BC65" s="13">
        <f t="shared" si="40"/>
        <v>-52.221673462790797</v>
      </c>
      <c r="BD65" s="14">
        <f t="shared" si="41"/>
        <v>-52.204994041580633</v>
      </c>
      <c r="BE65" s="15">
        <f t="shared" si="42"/>
        <v>-52.182697205469033</v>
      </c>
      <c r="BJ65" s="9">
        <f t="shared" si="43"/>
        <v>-57.154457759599339</v>
      </c>
      <c r="BK65" s="10">
        <f t="shared" si="44"/>
        <v>-57.186478442213776</v>
      </c>
      <c r="BL65" s="11">
        <f t="shared" si="45"/>
        <v>-57.191780858151148</v>
      </c>
      <c r="BM65" s="12">
        <f t="shared" si="46"/>
        <v>-57.197704987612461</v>
      </c>
      <c r="BN65" s="13">
        <f t="shared" si="47"/>
        <v>-57.20030083432178</v>
      </c>
      <c r="BO65" s="14">
        <f t="shared" si="48"/>
        <v>-57.202163594953298</v>
      </c>
      <c r="BP65" s="15">
        <f t="shared" si="49"/>
        <v>-57.202051247628077</v>
      </c>
      <c r="BR65" s="9">
        <f t="shared" si="50"/>
        <v>-55.906425585339818</v>
      </c>
      <c r="BS65" s="10">
        <f t="shared" si="51"/>
        <v>-55.774783494185279</v>
      </c>
      <c r="BT65" s="11">
        <f t="shared" si="52"/>
        <v>-55.637192248548978</v>
      </c>
      <c r="BU65" s="12">
        <f t="shared" si="53"/>
        <v>-55.493723982730813</v>
      </c>
      <c r="BV65" s="13">
        <f t="shared" si="54"/>
        <v>-55.344452697883405</v>
      </c>
      <c r="BW65" s="14">
        <f t="shared" si="55"/>
        <v>-55.189454099608611</v>
      </c>
      <c r="BX65" s="15">
        <f t="shared" si="56"/>
        <v>-55.028805436999832</v>
      </c>
    </row>
    <row r="66" spans="1:76">
      <c r="A66">
        <f t="shared" si="57"/>
        <v>140</v>
      </c>
      <c r="B66">
        <f t="shared" si="7"/>
        <v>140</v>
      </c>
      <c r="E66" s="9">
        <f t="shared" ref="E66:E74" si="65">DEGREES(ASIN(COS(RADIANS(42))*SIN(RADIANS(-$C$2)) + SIN(RADIANS(42))*COS(RADIANS(-$C$2))*COS(RADIANS(A66))))</f>
        <v>-35.127830408633756</v>
      </c>
      <c r="F66" s="10">
        <f t="shared" ref="F66:F74" si="66">DEGREES(ASIN(COS(RADIANS(41.2))*SIN(RADIANS(-$C$2)) + SIN(RADIANS(41.2))*COS(RADIANS(-$C$2))*COS(RADIANS(A66))))</f>
        <v>-34.627766291620567</v>
      </c>
      <c r="G66" s="11">
        <f t="shared" ref="G66:G74" si="67">DEGREES(ASIN(COS(RADIANS(41))*SIN(RADIANS(-$C$2)) + SIN(RADIANS(41))*COS(RADIANS(-$C$2))*COS(RADIANS(A66))))</f>
        <v>-34.502014706379668</v>
      </c>
      <c r="H66" s="12">
        <f t="shared" ref="H66:H74" si="68">DEGREES(ASIN(COS(RADIANS(40.7))*SIN(RADIANS(-$C$2)) + SIN(RADIANS(40.7))*COS(RADIANS(-$C$2))*COS(RADIANS(A66))))</f>
        <v>-34.312844820691325</v>
      </c>
      <c r="I66" s="13">
        <f t="shared" ref="I66:I74" si="69">DEGREES(ASIN(COS(RADIANS(40.5))*SIN(RADIANS(-$C$2)) + SIN(RADIANS(40.5))*COS(RADIANS(-$C$2))*COS(RADIANS(A66))))</f>
        <v>-34.186373141339089</v>
      </c>
      <c r="J66" s="14">
        <f t="shared" ref="J66:J74" si="70">DEGREES(ASIN(COS(RADIANS(40.2))*SIN(RADIANS(-$C$2)) + SIN(RADIANS(40.2))*COS(RADIANS(-$C$2))*COS(RADIANS(A66))))</f>
        <v>-33.996133516389307</v>
      </c>
      <c r="K66" s="15">
        <f t="shared" ref="K66:K74" si="71">DEGREES(ASIN(COS(RADIANS(40))*SIN(RADIANS(-$C$2)) + SIN(RADIANS(40))*COS(RADIANS(-$C$2))*COS(RADIANS(A66))))</f>
        <v>-33.86895556158867</v>
      </c>
      <c r="M66" s="9">
        <f t="shared" si="8"/>
        <v>-39.837595123495845</v>
      </c>
      <c r="N66" s="10">
        <f t="shared" si="9"/>
        <v>-40.112259552570023</v>
      </c>
      <c r="O66" s="11">
        <f t="shared" si="10"/>
        <v>-40.384346994139648</v>
      </c>
      <c r="P66" s="12">
        <f t="shared" si="11"/>
        <v>-40.653811510375903</v>
      </c>
      <c r="Q66" s="13">
        <f t="shared" si="12"/>
        <v>-40.920606633892078</v>
      </c>
      <c r="R66" s="14">
        <f t="shared" si="13"/>
        <v>-41.184685377671428</v>
      </c>
      <c r="S66" s="15">
        <f t="shared" si="14"/>
        <v>-41.446000246216613</v>
      </c>
      <c r="X66" s="9">
        <f t="shared" si="15"/>
        <v>-47.378386401971632</v>
      </c>
      <c r="Y66" s="10">
        <f t="shared" si="16"/>
        <v>-47.011975594341834</v>
      </c>
      <c r="Z66" s="11">
        <f t="shared" si="17"/>
        <v>-46.918893599490474</v>
      </c>
      <c r="AA66" s="12">
        <f t="shared" si="18"/>
        <v>-46.778177190731761</v>
      </c>
      <c r="AB66" s="13">
        <f t="shared" si="19"/>
        <v>-46.683643045724359</v>
      </c>
      <c r="AC66" s="14">
        <f t="shared" si="20"/>
        <v>-46.540766826788982</v>
      </c>
      <c r="AD66" s="15">
        <f t="shared" si="21"/>
        <v>-46.444805049049414</v>
      </c>
      <c r="AF66" s="9">
        <f t="shared" si="22"/>
        <v>-50.469023165383803</v>
      </c>
      <c r="AG66" s="10">
        <f t="shared" si="23"/>
        <v>-50.624297353507671</v>
      </c>
      <c r="AH66" s="11">
        <f t="shared" si="24"/>
        <v>-50.774752032320137</v>
      </c>
      <c r="AI66" s="12">
        <f t="shared" si="25"/>
        <v>-50.92033012819978</v>
      </c>
      <c r="AJ66" s="13">
        <f t="shared" si="26"/>
        <v>-51.060975585360936</v>
      </c>
      <c r="AK66" s="14">
        <f t="shared" si="27"/>
        <v>-51.196633455535981</v>
      </c>
      <c r="AL66" s="15">
        <f t="shared" si="28"/>
        <v>-51.327249988336078</v>
      </c>
      <c r="AQ66" s="9">
        <f t="shared" si="29"/>
        <v>-54.635146885967082</v>
      </c>
      <c r="AR66" s="10">
        <f t="shared" si="30"/>
        <v>-54.408905404664537</v>
      </c>
      <c r="AS66" s="11">
        <f t="shared" si="31"/>
        <v>-54.350102964038747</v>
      </c>
      <c r="AT66" s="12">
        <f t="shared" si="32"/>
        <v>-54.260235848086261</v>
      </c>
      <c r="AU66" s="13">
        <f t="shared" si="33"/>
        <v>-54.199222068671119</v>
      </c>
      <c r="AV66" s="14">
        <f t="shared" si="34"/>
        <v>-54.106059274292704</v>
      </c>
      <c r="AW66" s="15">
        <f t="shared" si="35"/>
        <v>-54.042862722773172</v>
      </c>
      <c r="AY66" s="9">
        <f t="shared" si="36"/>
        <v>-56.057503314233777</v>
      </c>
      <c r="AZ66" s="10">
        <f t="shared" si="37"/>
        <v>-56.093152423030453</v>
      </c>
      <c r="BA66" s="11">
        <f t="shared" si="38"/>
        <v>-56.122337496825082</v>
      </c>
      <c r="BB66" s="12">
        <f t="shared" si="39"/>
        <v>-56.145041600667128</v>
      </c>
      <c r="BC66" s="13">
        <f t="shared" si="40"/>
        <v>-56.161251520034575</v>
      </c>
      <c r="BD66" s="14">
        <f t="shared" si="41"/>
        <v>-56.170957798621181</v>
      </c>
      <c r="BE66" s="15">
        <f t="shared" si="42"/>
        <v>-56.174154765481788</v>
      </c>
      <c r="BJ66" s="9">
        <f t="shared" si="43"/>
        <v>-60.498900288647327</v>
      </c>
      <c r="BK66" s="10">
        <f t="shared" si="44"/>
        <v>-60.479310260058611</v>
      </c>
      <c r="BL66" s="11">
        <f t="shared" si="45"/>
        <v>-60.471332767274433</v>
      </c>
      <c r="BM66" s="12">
        <f t="shared" si="46"/>
        <v>-60.457060228210111</v>
      </c>
      <c r="BN66" s="13">
        <f t="shared" si="47"/>
        <v>-60.446009413877746</v>
      </c>
      <c r="BO66" s="14">
        <f t="shared" si="48"/>
        <v>-60.427132978031899</v>
      </c>
      <c r="BP66" s="15">
        <f t="shared" si="49"/>
        <v>-60.413017510487222</v>
      </c>
      <c r="BR66" s="9">
        <f t="shared" si="50"/>
        <v>-59.622151240126968</v>
      </c>
      <c r="BS66" s="10">
        <f t="shared" si="51"/>
        <v>-59.50473395047257</v>
      </c>
      <c r="BT66" s="11">
        <f t="shared" si="52"/>
        <v>-59.380341410509764</v>
      </c>
      <c r="BU66" s="12">
        <f t="shared" si="53"/>
        <v>-59.249058966255269</v>
      </c>
      <c r="BV66" s="13">
        <f t="shared" si="54"/>
        <v>-59.11097520397751</v>
      </c>
      <c r="BW66" s="14">
        <f t="shared" si="55"/>
        <v>-58.96618168644401</v>
      </c>
      <c r="BX66" s="15">
        <f t="shared" si="56"/>
        <v>-58.814772688872353</v>
      </c>
    </row>
    <row r="67" spans="1:76">
      <c r="A67">
        <f t="shared" si="57"/>
        <v>145</v>
      </c>
      <c r="B67">
        <f t="shared" ref="B67:B74" si="72">A67</f>
        <v>145</v>
      </c>
      <c r="E67" s="9">
        <f t="shared" si="65"/>
        <v>-37.647608199524356</v>
      </c>
      <c r="F67" s="10">
        <f t="shared" si="66"/>
        <v>-37.091588080293668</v>
      </c>
      <c r="G67" s="11">
        <f t="shared" si="67"/>
        <v>-36.951899968880433</v>
      </c>
      <c r="H67" s="12">
        <f t="shared" si="68"/>
        <v>-36.74186512394764</v>
      </c>
      <c r="I67" s="13">
        <f t="shared" si="69"/>
        <v>-36.601510181108829</v>
      </c>
      <c r="J67" s="14">
        <f t="shared" si="70"/>
        <v>-36.390485976613824</v>
      </c>
      <c r="K67" s="15">
        <f t="shared" si="71"/>
        <v>-36.249478650381796</v>
      </c>
      <c r="M67" s="9">
        <f t="shared" ref="M67:M74" si="73">DEGREES(ASIN(COS(RADIANS(50))*SIN(RADIANS(-$C$2)) + SIN(RADIANS(50))*COS(RADIANS(-$C$2))*COS(RADIANS(A67))))</f>
        <v>-42.932920147011572</v>
      </c>
      <c r="N67" s="10">
        <f t="shared" ref="N67:N74" si="74">DEGREES(ASIN(COS(RADIANS(50.5))*SIN(RADIANS(-$C$2)) + SIN(RADIANS(50.5))*COS(RADIANS(-$C$2))*COS(RADIANS(A67))))</f>
        <v>-43.244296202860248</v>
      </c>
      <c r="O67" s="11">
        <f t="shared" ref="O67:O74" si="75">DEGREES(ASIN(COS(RADIANS(51))*SIN(RADIANS(-$C$2)) + SIN(RADIANS(51))*COS(RADIANS(-$C$2))*COS(RADIANS(A67))))</f>
        <v>-43.553147134783472</v>
      </c>
      <c r="P67" s="12">
        <f t="shared" ref="P67:P74" si="76">DEGREES(ASIN(COS(RADIANS(51.5))*SIN(RADIANS(-$C$2)) + SIN(RADIANS(51.5))*COS(RADIANS(-$C$2))*COS(RADIANS(A67))))</f>
        <v>-43.859419375371012</v>
      </c>
      <c r="Q67" s="13">
        <f t="shared" ref="Q67:Q74" si="77">DEGREES(ASIN(COS(RADIANS(52))*SIN(RADIANS(-$C$2)) + SIN(RADIANS(52))*COS(RADIANS(-$C$2))*COS(RADIANS(A67))))</f>
        <v>-44.163058410064629</v>
      </c>
      <c r="R67" s="14">
        <f t="shared" ref="R67:R74" si="78">DEGREES(ASIN(COS(RADIANS(52.5))*SIN(RADIANS(-$C$2)) + SIN(RADIANS(52.5))*COS(RADIANS(-$C$2))*COS(RADIANS(A67))))</f>
        <v>-44.464008775909996</v>
      </c>
      <c r="S67" s="15">
        <f t="shared" ref="S67:S73" si="79">DEGREES(ASIN(COS(RADIANS(53))*SIN(RADIANS(-$C$2)) + SIN(RADIANS(53))*COS(RADIANS(-$C$2))*COS(RADIANS(A67))))</f>
        <v>-44.762214061768319</v>
      </c>
      <c r="X67" s="9">
        <f t="shared" ref="X67:X74" si="80">DEGREES(ASIN(COS(RADIANS(42))*SIN(RADIANS(-$V$2)) + SIN(RADIANS(42))*COS(RADIANS(-$V$2))*COS(RADIANS(A67))))</f>
        <v>-50.285200976510978</v>
      </c>
      <c r="Y67" s="10">
        <f t="shared" ref="Y67:Y74" si="81">DEGREES(ASIN(COS(RADIANS(41.2))*SIN(RADIANS(-$V$2)) + SIN(RADIANS(41.2))*COS(RADIANS(-$V$2))*COS(RADIANS(A67))))</f>
        <v>-49.850800299290682</v>
      </c>
      <c r="Z67" s="11">
        <f t="shared" ref="Z67:Z74" si="82">DEGREES(ASIN(COS(RADIANS(41))*SIN(RADIANS(-$V$2)) + SIN(RADIANS(41))*COS(RADIANS(-$V$2))*COS(RADIANS(A67))))</f>
        <v>-49.740742100792865</v>
      </c>
      <c r="AA67" s="12">
        <f t="shared" ref="AA67:AA74" si="83">DEGREES(ASIN(COS(RADIANS(40.7))*SIN(RADIANS(-$V$2)) + SIN(RADIANS(40.7))*COS(RADIANS(-$V$2))*COS(RADIANS(A67))))</f>
        <v>-49.574581098503202</v>
      </c>
      <c r="AB67" s="13">
        <f t="shared" ref="AB67:AB74" si="84">DEGREES(ASIN(COS(RADIANS(40.5))*SIN(RADIANS(-$V$2)) + SIN(RADIANS(40.5))*COS(RADIANS(-$V$2))*COS(RADIANS(A67))))</f>
        <v>-49.463098333278559</v>
      </c>
      <c r="AC67" s="14">
        <f t="shared" ref="AC67:AC74" si="85">DEGREES(ASIN(COS(RADIANS(40.2))*SIN(RADIANS(-$V$2)) + SIN(RADIANS(40.2))*COS(RADIANS(-$V$2))*COS(RADIANS(A67))))</f>
        <v>-49.294823020355629</v>
      </c>
      <c r="AD67" s="15">
        <f t="shared" ref="AD67:AD74" si="86">DEGREES(ASIN(COS(RADIANS(40))*SIN(RADIANS(-$V$2)) + SIN(RADIANS(40))*COS(RADIANS(-$V$2))*COS(RADIANS(A67))))</f>
        <v>-49.181945638950268</v>
      </c>
      <c r="AF67" s="9">
        <f t="shared" ref="AF67:AF74" si="87">DEGREES(ASIN(COS(RADIANS(50))*SIN(RADIANS(-$V$2)) + SIN(RADIANS(50))*COS(RADIANS(-$V$2))*COS(RADIANS(A67))))</f>
        <v>-54.048073669368961</v>
      </c>
      <c r="AG67" s="10">
        <f t="shared" ref="AG67:AG74" si="88">DEGREES(ASIN(COS(RADIANS(50.5))*SIN(RADIANS(-$V$2)) + SIN(RADIANS(50.5))*COS(RADIANS(-$V$2))*COS(RADIANS(A67))))</f>
        <v>-54.24377105168216</v>
      </c>
      <c r="AH67" s="11">
        <f t="shared" ref="AH67:AH74" si="89">DEGREES(ASIN(COS(RADIANS(51))*SIN(RADIANS(-$V$2)) + SIN(RADIANS(51))*COS(RADIANS(-$V$2))*COS(RADIANS(A67))))</f>
        <v>-54.434312937730901</v>
      </c>
      <c r="AI67" s="12">
        <f t="shared" ref="AI67:AI74" si="90">DEGREES(ASIN(COS(RADIANS(51.5))*SIN(RADIANS(-$V$2)) + SIN(RADIANS(51.5))*COS(RADIANS(-$V$2))*COS(RADIANS(A67))))</f>
        <v>-54.619614665508315</v>
      </c>
      <c r="AJ67" s="13">
        <f t="shared" ref="AJ67:AJ74" si="91">DEGREES(ASIN(COS(RADIANS(52))*SIN(RADIANS(-$V$2)) + SIN(RADIANS(52))*COS(RADIANS(-$V$2))*COS(RADIANS(A67))))</f>
        <v>-54.79959215302808</v>
      </c>
      <c r="AK67" s="14">
        <f t="shared" ref="AK67:AK74" si="92">DEGREES(ASIN(COS(RADIANS(52.5))*SIN(RADIANS(-$V$2)) + SIN(RADIANS(52.5))*COS(RADIANS(-$V$2))*COS(RADIANS(A67))))</f>
        <v>-54.974162040200717</v>
      </c>
      <c r="AL67" s="15">
        <f t="shared" ref="AL67:AL74" si="93">DEGREES(ASIN(COS(RADIANS(53))*SIN(RADIANS(-$V$2)) + SIN(RADIANS(53))*COS(RADIANS(-$V$2))*COS(RADIANS(A67))))</f>
        <v>-55.143241835534255</v>
      </c>
      <c r="AQ67" s="9">
        <f t="shared" ref="AQ67:AQ74" si="94">DEGREES(ASIN(COS(RADIANS(42))*SIN(RADIANS(-$AO$2)) + SIN(RADIANS(42))*COS(RADIANS(-$AO$2))*COS(RADIANS(A67))))</f>
        <v>-57.806971809776279</v>
      </c>
      <c r="AR67" s="10">
        <f t="shared" ref="AR67:AR74" si="95">DEGREES(ASIN(COS(RADIANS(41.2))*SIN(RADIANS(-$AO$2)) + SIN(RADIANS(41.2))*COS(RADIANS(-$AO$2))*COS(RADIANS(A67))))</f>
        <v>-57.510087068115254</v>
      </c>
      <c r="AS67" s="11">
        <f t="shared" ref="AS67:AS74" si="96">DEGREES(ASIN(COS(RADIANS(41))*SIN(RADIANS(-$AO$2)) + SIN(RADIANS(41))*COS(RADIANS(-$AO$2))*COS(RADIANS(A67))))</f>
        <v>-57.433505549595864</v>
      </c>
      <c r="AT67" s="12">
        <f t="shared" ref="AT67:AT74" si="97">DEGREES(ASIN(COS(RADIANS(40.7))*SIN(RADIANS(-$AO$2)) + SIN(RADIANS(40.7))*COS(RADIANS(-$AO$2))*COS(RADIANS(A67))))</f>
        <v>-57.316890063280482</v>
      </c>
      <c r="AU67" s="13">
        <f t="shared" ref="AU67:AU74" si="98">DEGREES(ASIN(COS(RADIANS(40.5))*SIN(RADIANS(-$AO$2)) + SIN(RADIANS(40.5))*COS(RADIANS(-$AO$2))*COS(RADIANS(A67))))</f>
        <v>-57.237994024639789</v>
      </c>
      <c r="AV67" s="14">
        <f t="shared" ref="AV67:AV74" si="99">DEGREES(ASIN(COS(RADIANS(40.2))*SIN(RADIANS(-$AO$2)) + SIN(RADIANS(40.2))*COS(RADIANS(-$AO$2))*COS(RADIANS(A67))))</f>
        <v>-57.117938169129069</v>
      </c>
      <c r="AW67" s="15">
        <f t="shared" ref="AW67:AW74" si="100">DEGREES(ASIN(COS(RADIANS(40))*SIN(RADIANS(-$AO$2)) + SIN(RADIANS(40))*COS(RADIANS(-$AO$2))*COS(RADIANS(A67))))</f>
        <v>-57.03676954113989</v>
      </c>
      <c r="AY67" s="9">
        <f t="shared" ref="AY67:AY74" si="101">DEGREES(ASIN(COS(RADIANS(50))*SIN(RADIANS(-$AO$2)) + SIN(RADIANS(50))*COS(RADIANS(-$AO$2))*COS(RADIANS(A67))))</f>
        <v>-59.863378649840783</v>
      </c>
      <c r="AZ67" s="10">
        <f t="shared" ref="AZ67:AZ74" si="102">DEGREES(ASIN(COS(RADIANS(50.5))*SIN(RADIANS(-$AO$2)) + SIN(RADIANS(50.5))*COS(RADIANS(-$AO$2))*COS(RADIANS(A67))))</f>
        <v>-59.932366812038957</v>
      </c>
      <c r="BA67" s="11">
        <f t="shared" ref="BA67:BA74" si="103">DEGREES(ASIN(COS(RADIANS(51))*SIN(RADIANS(-$AO$2)) + SIN(RADIANS(51))*COS(RADIANS(-$AO$2))*COS(RADIANS(A67))))</f>
        <v>-59.993946984105413</v>
      </c>
      <c r="BB67" s="12">
        <f t="shared" ref="BB67:BB74" si="104">DEGREES(ASIN(COS(RADIANS(51.5))*SIN(RADIANS(-$AO$2)) + SIN(RADIANS(51.5))*COS(RADIANS(-$AO$2))*COS(RADIANS(A67))))</f>
        <v>-60.048073121000556</v>
      </c>
      <c r="BC67" s="13">
        <f t="shared" ref="BC67:BC74" si="105">DEGREES(ASIN(COS(RADIANS(52))*SIN(RADIANS(-$AO$2)) + SIN(RADIANS(52))*COS(RADIANS(-$AO$2))*COS(RADIANS(A67))))</f>
        <v>-60.094704438895825</v>
      </c>
      <c r="BD67" s="14">
        <f t="shared" ref="BD67:BD74" si="106">DEGREES(ASIN(COS(RADIANS(52.5))*SIN(RADIANS(-$AO$2)) + SIN(RADIANS(52.5))*COS(RADIANS(-$AO$2))*COS(RADIANS(A67))))</f>
        <v>-60.133805564817948</v>
      </c>
      <c r="BE67" s="15">
        <f t="shared" ref="BE67:BE74" si="107">DEGREES(ASIN(COS(RADIANS(53))*SIN(RADIANS(-$AO$2)) + SIN(RADIANS(53))*COS(RADIANS(-$AO$2))*COS(RADIANS(A67))))</f>
        <v>-60.165346667920531</v>
      </c>
      <c r="BJ67" s="9">
        <f t="shared" ref="BJ67:BJ74" si="108">DEGREES(ASIN(COS(RADIANS(42))*SIN(RADIANS(-$BH$2)) + SIN(RADIANS(42))*COS(RADIANS(-$BH$2))*COS(RADIANS(A67))))</f>
        <v>-63.840254625296758</v>
      </c>
      <c r="BK67" s="10">
        <f t="shared" ref="BK67:BK74" si="109">DEGREES(ASIN(COS(RADIANS(41.2))*SIN(RADIANS(-$BH$2)) + SIN(RADIANS(41.2))*COS(RADIANS(-$BH$2))*COS(RADIANS(A67))))</f>
        <v>-63.763268628854689</v>
      </c>
      <c r="BL67" s="11">
        <f t="shared" ref="BL67:BL74" si="110">DEGREES(ASIN(COS(RADIANS(41))*SIN(RADIANS(-$BH$2)) + SIN(RADIANS(41))*COS(RADIANS(-$BH$2))*COS(RADIANS(A67))))</f>
        <v>-63.740515667083869</v>
      </c>
      <c r="BM67" s="12">
        <f t="shared" ref="BM67:BM74" si="111">DEGREES(ASIN(COS(RADIANS(40.7))*SIN(RADIANS(-$BH$2)) + SIN(RADIANS(40.7))*COS(RADIANS(-$BH$2))*COS(RADIANS(A67))))</f>
        <v>-63.703770659785057</v>
      </c>
      <c r="BN67" s="13">
        <f t="shared" ref="BN67:BN74" si="112">DEGREES(ASIN(COS(RADIANS(40.5))*SIN(RADIANS(-$BH$2)) + SIN(RADIANS(40.5))*COS(RADIANS(-$BH$2))*COS(RADIANS(A67))))</f>
        <v>-63.677535982906932</v>
      </c>
      <c r="BO67" s="14">
        <f t="shared" ref="BO67:BO74" si="113">DEGREES(ASIN(COS(RADIANS(40.2))*SIN(RADIANS(-$BH$2)) + SIN(RADIANS(40.2))*COS(RADIANS(-$BH$2))*COS(RADIANS(A67))))</f>
        <v>-63.635587381720434</v>
      </c>
      <c r="BP67" s="15">
        <f t="shared" ref="BP67:BP74" si="114">DEGREES(ASIN(COS(RADIANS(40))*SIN(RADIANS(-$BH$2)) + SIN(RADIANS(40))*COS(RADIANS(-$BH$2))*COS(RADIANS(A67))))</f>
        <v>-63.605897038077494</v>
      </c>
      <c r="BR67" s="9">
        <f t="shared" ref="BR67:BR74" si="115">DEGREES(ASIN(COS(RADIANS(50))*SIN(RADIANS(-$BH$2)) + SIN(RADIANS(50))*COS(RADIANS(-$BH$2))*COS(RADIANS(A67))))</f>
        <v>-63.364171016670795</v>
      </c>
      <c r="BS67" s="10">
        <f t="shared" ref="BS67:BS74" si="116">DEGREES(ASIN(COS(RADIANS(50.5))*SIN(RADIANS(-$BH$2)) + SIN(RADIANS(50.5))*COS(RADIANS(-$BH$2))*COS(RADIANS(A67))))</f>
        <v>-63.260692783287567</v>
      </c>
      <c r="BT67" s="11">
        <f t="shared" ref="BT67:BT74" si="117">DEGREES(ASIN(COS(RADIANS(51))*SIN(RADIANS(-$BH$2)) + SIN(RADIANS(51))*COS(RADIANS(-$BH$2))*COS(RADIANS(A67))))</f>
        <v>-63.148955628660261</v>
      </c>
      <c r="BU67" s="12">
        <f t="shared" ref="BU67:BU74" si="118">DEGREES(ASIN(COS(RADIANS(51.5))*SIN(RADIANS(-$BH$2)) + SIN(RADIANS(51.5))*COS(RADIANS(-$BH$2))*COS(RADIANS(A67))))</f>
        <v>-63.029062683036678</v>
      </c>
      <c r="BV67" s="13">
        <f t="shared" ref="BV67:BV74" si="119">DEGREES(ASIN(COS(RADIANS(52))*SIN(RADIANS(-$BH$2)) + SIN(RADIANS(52))*COS(RADIANS(-$BH$2))*COS(RADIANS(A67))))</f>
        <v>-62.901122715660073</v>
      </c>
      <c r="BW67" s="14">
        <f t="shared" ref="BW67:BW74" si="120">DEGREES(ASIN(COS(RADIANS(52.5))*SIN(RADIANS(-$BH$2)) + SIN(RADIANS(52.5))*COS(RADIANS(-$BH$2))*COS(RADIANS(A67))))</f>
        <v>-62.765249687314615</v>
      </c>
      <c r="BX67" s="15">
        <f t="shared" ref="BX67:BX74" si="121">DEGREES(ASIN(COS(RADIANS(53))*SIN(RADIANS(-$BH$2)) + SIN(RADIANS(53))*COS(RADIANS(-$BH$2))*COS(RADIANS(A67))))</f>
        <v>-62.621562296665125</v>
      </c>
    </row>
    <row r="68" spans="1:76">
      <c r="A68">
        <f t="shared" ref="A68:A74" si="122">A67 + 5</f>
        <v>150</v>
      </c>
      <c r="B68">
        <f t="shared" si="72"/>
        <v>150</v>
      </c>
      <c r="E68" s="9">
        <f t="shared" si="65"/>
        <v>-39.944728495473576</v>
      </c>
      <c r="F68" s="10">
        <f t="shared" si="66"/>
        <v>-39.334623397028373</v>
      </c>
      <c r="G68" s="11">
        <f t="shared" si="67"/>
        <v>-39.181498056648095</v>
      </c>
      <c r="H68" s="12">
        <f t="shared" si="68"/>
        <v>-38.951370228786679</v>
      </c>
      <c r="I68" s="13">
        <f t="shared" si="69"/>
        <v>-38.797661805154327</v>
      </c>
      <c r="J68" s="14">
        <f t="shared" si="70"/>
        <v>-38.566670015758611</v>
      </c>
      <c r="K68" s="15">
        <f t="shared" si="71"/>
        <v>-38.412392643516583</v>
      </c>
      <c r="M68" s="9">
        <f t="shared" si="73"/>
        <v>-45.80012177264117</v>
      </c>
      <c r="N68" s="10">
        <f t="shared" si="74"/>
        <v>-46.148803850267065</v>
      </c>
      <c r="O68" s="11">
        <f t="shared" si="75"/>
        <v>-46.495137985217688</v>
      </c>
      <c r="P68" s="12">
        <f t="shared" si="76"/>
        <v>-46.839065310695808</v>
      </c>
      <c r="Q68" s="13">
        <f t="shared" si="77"/>
        <v>-47.180525513556717</v>
      </c>
      <c r="R68" s="14">
        <f t="shared" si="78"/>
        <v>-47.51945680984921</v>
      </c>
      <c r="S68" s="15">
        <f t="shared" si="79"/>
        <v>-47.855795921351834</v>
      </c>
      <c r="X68" s="9">
        <f t="shared" si="80"/>
        <v>-53.006848222173709</v>
      </c>
      <c r="Y68" s="10">
        <f t="shared" si="81"/>
        <v>-52.502604345053349</v>
      </c>
      <c r="Z68" s="11">
        <f t="shared" si="82"/>
        <v>-52.375173957379999</v>
      </c>
      <c r="AA68" s="12">
        <f t="shared" si="83"/>
        <v>-52.183024198936288</v>
      </c>
      <c r="AB68" s="13">
        <f t="shared" si="84"/>
        <v>-52.054262982988405</v>
      </c>
      <c r="AC68" s="14">
        <f t="shared" si="85"/>
        <v>-51.86014277406391</v>
      </c>
      <c r="AD68" s="15">
        <f t="shared" si="86"/>
        <v>-51.73008493129322</v>
      </c>
      <c r="AF68" s="9">
        <f t="shared" si="87"/>
        <v>-57.485079924439638</v>
      </c>
      <c r="AG68" s="10">
        <f t="shared" si="88"/>
        <v>-57.7253168494207</v>
      </c>
      <c r="AH68" s="11">
        <f t="shared" si="89"/>
        <v>-57.96020474505935</v>
      </c>
      <c r="AI68" s="12">
        <f t="shared" si="90"/>
        <v>-58.189623880089876</v>
      </c>
      <c r="AJ68" s="13">
        <f t="shared" si="91"/>
        <v>-58.413453884769218</v>
      </c>
      <c r="AK68" s="14">
        <f t="shared" si="92"/>
        <v>-58.631573939452821</v>
      </c>
      <c r="AL68" s="15">
        <f t="shared" si="93"/>
        <v>-58.843862977282669</v>
      </c>
      <c r="AQ68" s="9">
        <f t="shared" si="94"/>
        <v>-60.858574362490813</v>
      </c>
      <c r="AR68" s="10">
        <f t="shared" si="95"/>
        <v>-60.484744093617905</v>
      </c>
      <c r="AS68" s="11">
        <f t="shared" si="96"/>
        <v>-60.388881538101494</v>
      </c>
      <c r="AT68" s="12">
        <f t="shared" si="97"/>
        <v>-60.243321762763713</v>
      </c>
      <c r="AU68" s="13">
        <f t="shared" si="98"/>
        <v>-60.145118108692728</v>
      </c>
      <c r="AV68" s="14">
        <f t="shared" si="99"/>
        <v>-59.996089946061815</v>
      </c>
      <c r="AW68" s="15">
        <f t="shared" si="100"/>
        <v>-59.895602749037515</v>
      </c>
      <c r="AY68" s="9">
        <f t="shared" si="101"/>
        <v>-63.62776707186589</v>
      </c>
      <c r="AZ68" s="10">
        <f t="shared" si="102"/>
        <v>-63.735081283215422</v>
      </c>
      <c r="BA68" s="11">
        <f t="shared" si="103"/>
        <v>-63.833929849547722</v>
      </c>
      <c r="BB68" s="12">
        <f t="shared" si="104"/>
        <v>-63.924216077060208</v>
      </c>
      <c r="BC68" s="13">
        <f t="shared" si="105"/>
        <v>-64.005850364403827</v>
      </c>
      <c r="BD68" s="14">
        <f t="shared" si="106"/>
        <v>-64.078750623522268</v>
      </c>
      <c r="BE68" s="15">
        <f t="shared" si="107"/>
        <v>-64.14284267403869</v>
      </c>
      <c r="BJ68" s="9">
        <f t="shared" si="108"/>
        <v>-67.160365096273708</v>
      </c>
      <c r="BK68" s="10">
        <f t="shared" si="109"/>
        <v>-67.01788206151609</v>
      </c>
      <c r="BL68" s="11">
        <f t="shared" si="110"/>
        <v>-66.978281601149803</v>
      </c>
      <c r="BM68" s="12">
        <f t="shared" si="111"/>
        <v>-66.915928660799125</v>
      </c>
      <c r="BN68" s="13">
        <f t="shared" si="112"/>
        <v>-66.872404279756424</v>
      </c>
      <c r="BO68" s="14">
        <f t="shared" si="113"/>
        <v>-66.804206151384236</v>
      </c>
      <c r="BP68" s="15">
        <f t="shared" si="114"/>
        <v>-66.756813017511263</v>
      </c>
      <c r="BR68" s="9">
        <f t="shared" si="115"/>
        <v>-67.128740359702022</v>
      </c>
      <c r="BS68" s="10">
        <f t="shared" si="116"/>
        <v>-67.03886894955167</v>
      </c>
      <c r="BT68" s="11">
        <f t="shared" si="117"/>
        <v>-66.939070336607855</v>
      </c>
      <c r="BU68" s="12">
        <f t="shared" si="118"/>
        <v>-66.829473112982626</v>
      </c>
      <c r="BV68" s="13">
        <f t="shared" si="119"/>
        <v>-66.710215959761143</v>
      </c>
      <c r="BW68" s="14">
        <f t="shared" si="120"/>
        <v>-66.581446835141264</v>
      </c>
      <c r="BX68" s="15">
        <f t="shared" si="121"/>
        <v>-66.443322137885076</v>
      </c>
    </row>
    <row r="69" spans="1:76">
      <c r="A69">
        <f t="shared" si="122"/>
        <v>155</v>
      </c>
      <c r="B69">
        <f t="shared" si="72"/>
        <v>155</v>
      </c>
      <c r="E69" s="9">
        <f t="shared" si="65"/>
        <v>-41.982218134501785</v>
      </c>
      <c r="F69" s="10">
        <f t="shared" si="66"/>
        <v>-41.321306634299631</v>
      </c>
      <c r="G69" s="11">
        <f t="shared" si="67"/>
        <v>-41.155591214781587</v>
      </c>
      <c r="H69" s="12">
        <f t="shared" si="68"/>
        <v>-40.906660991437391</v>
      </c>
      <c r="I69" s="13">
        <f t="shared" si="69"/>
        <v>-40.740472451997078</v>
      </c>
      <c r="J69" s="14">
        <f t="shared" si="70"/>
        <v>-40.490842132569014</v>
      </c>
      <c r="K69" s="15">
        <f t="shared" si="71"/>
        <v>-40.324193162821864</v>
      </c>
      <c r="M69" s="9">
        <f t="shared" si="73"/>
        <v>-48.387459825787424</v>
      </c>
      <c r="N69" s="10">
        <f t="shared" si="74"/>
        <v>-48.773143767146699</v>
      </c>
      <c r="O69" s="11">
        <f t="shared" si="75"/>
        <v>-49.15679546819085</v>
      </c>
      <c r="P69" s="12">
        <f t="shared" si="76"/>
        <v>-49.538355322776951</v>
      </c>
      <c r="Q69" s="13">
        <f t="shared" si="77"/>
        <v>-49.917761811653321</v>
      </c>
      <c r="R69" s="14">
        <f t="shared" si="78"/>
        <v>-50.294951443021453</v>
      </c>
      <c r="S69" s="15">
        <f t="shared" si="79"/>
        <v>-50.66985869227252</v>
      </c>
      <c r="X69" s="9">
        <f t="shared" si="80"/>
        <v>-55.490885513998428</v>
      </c>
      <c r="Y69" s="10">
        <f t="shared" si="81"/>
        <v>-54.916415044828149</v>
      </c>
      <c r="Z69" s="11">
        <f t="shared" si="82"/>
        <v>-54.771596061470717</v>
      </c>
      <c r="AA69" s="12">
        <f t="shared" si="83"/>
        <v>-54.553490796796709</v>
      </c>
      <c r="AB69" s="13">
        <f t="shared" si="84"/>
        <v>-54.407511248018302</v>
      </c>
      <c r="AC69" s="14">
        <f t="shared" si="85"/>
        <v>-54.187692178208543</v>
      </c>
      <c r="AD69" s="15">
        <f t="shared" si="86"/>
        <v>-54.040587845435041</v>
      </c>
      <c r="AF69" s="9">
        <f t="shared" si="87"/>
        <v>-60.721005281557517</v>
      </c>
      <c r="AG69" s="10">
        <f t="shared" si="88"/>
        <v>-61.010224874214579</v>
      </c>
      <c r="AH69" s="11">
        <f t="shared" si="89"/>
        <v>-61.294156651315284</v>
      </c>
      <c r="AI69" s="12">
        <f t="shared" si="90"/>
        <v>-61.572641126074053</v>
      </c>
      <c r="AJ69" s="13">
        <f t="shared" si="91"/>
        <v>-61.845515635288251</v>
      </c>
      <c r="AK69" s="14">
        <f t="shared" si="92"/>
        <v>-62.112614503090711</v>
      </c>
      <c r="AL69" s="15">
        <f t="shared" si="93"/>
        <v>-62.373769233441081</v>
      </c>
      <c r="AQ69" s="9">
        <f t="shared" si="94"/>
        <v>-63.735834915219058</v>
      </c>
      <c r="AR69" s="10">
        <f t="shared" si="95"/>
        <v>-63.278574491412066</v>
      </c>
      <c r="AS69" s="11">
        <f t="shared" si="96"/>
        <v>-63.161932021762446</v>
      </c>
      <c r="AT69" s="12">
        <f t="shared" si="97"/>
        <v>-62.985271763932353</v>
      </c>
      <c r="AU69" s="13">
        <f t="shared" si="98"/>
        <v>-62.866384488046812</v>
      </c>
      <c r="AV69" s="14">
        <f t="shared" si="99"/>
        <v>-62.686412148282479</v>
      </c>
      <c r="AW69" s="15">
        <f t="shared" si="100"/>
        <v>-62.56535313865119</v>
      </c>
      <c r="AY69" s="9">
        <f t="shared" si="101"/>
        <v>-67.316774554931342</v>
      </c>
      <c r="AZ69" s="10">
        <f t="shared" si="102"/>
        <v>-67.469562720269806</v>
      </c>
      <c r="BA69" s="11">
        <f t="shared" si="103"/>
        <v>-67.612755142536471</v>
      </c>
      <c r="BB69" s="12">
        <f t="shared" si="104"/>
        <v>-67.746166166195195</v>
      </c>
      <c r="BC69" s="13">
        <f t="shared" si="105"/>
        <v>-67.86961849801601</v>
      </c>
      <c r="BD69" s="14">
        <f t="shared" si="106"/>
        <v>-67.982944254800174</v>
      </c>
      <c r="BE69" s="15">
        <f t="shared" si="107"/>
        <v>-68.085985997366009</v>
      </c>
      <c r="BJ69" s="9">
        <f t="shared" si="108"/>
        <v>-70.431709603224533</v>
      </c>
      <c r="BK69" s="10">
        <f t="shared" si="109"/>
        <v>-70.212163355531288</v>
      </c>
      <c r="BL69" s="11">
        <f t="shared" si="110"/>
        <v>-70.152801881114868</v>
      </c>
      <c r="BM69" s="12">
        <f t="shared" si="111"/>
        <v>-70.060467291173282</v>
      </c>
      <c r="BN69" s="13">
        <f t="shared" si="112"/>
        <v>-69.996739651818331</v>
      </c>
      <c r="BO69" s="14">
        <f t="shared" si="113"/>
        <v>-69.89793268053289</v>
      </c>
      <c r="BP69" s="15">
        <f t="shared" si="114"/>
        <v>-69.829942228804384</v>
      </c>
      <c r="BR69" s="9">
        <f t="shared" si="115"/>
        <v>-70.912302881974696</v>
      </c>
      <c r="BS69" s="10">
        <f t="shared" si="116"/>
        <v>-70.835608812081716</v>
      </c>
      <c r="BT69" s="11">
        <f t="shared" si="117"/>
        <v>-70.74670608841933</v>
      </c>
      <c r="BU69" s="12">
        <f t="shared" si="118"/>
        <v>-70.645763147969859</v>
      </c>
      <c r="BV69" s="13">
        <f t="shared" si="119"/>
        <v>-70.532967512182196</v>
      </c>
      <c r="BW69" s="14">
        <f t="shared" si="120"/>
        <v>-70.40852415281384</v>
      </c>
      <c r="BX69" s="15">
        <f t="shared" si="121"/>
        <v>-70.272653773134635</v>
      </c>
    </row>
    <row r="70" spans="1:76">
      <c r="A70">
        <f t="shared" si="122"/>
        <v>160</v>
      </c>
      <c r="B70">
        <f t="shared" si="72"/>
        <v>160</v>
      </c>
      <c r="E70" s="9">
        <f t="shared" si="65"/>
        <v>-43.721507364434629</v>
      </c>
      <c r="F70" s="10">
        <f t="shared" si="66"/>
        <v>-43.014823655214478</v>
      </c>
      <c r="G70" s="11">
        <f t="shared" si="67"/>
        <v>-42.837794841995191</v>
      </c>
      <c r="H70" s="12">
        <f t="shared" si="68"/>
        <v>-42.57199008987218</v>
      </c>
      <c r="I70" s="13">
        <f t="shared" si="69"/>
        <v>-42.394614973722163</v>
      </c>
      <c r="J70" s="14">
        <f t="shared" si="70"/>
        <v>-42.128298432684346</v>
      </c>
      <c r="K70" s="15">
        <f t="shared" si="71"/>
        <v>-41.950587152647103</v>
      </c>
      <c r="M70" s="9">
        <f t="shared" si="73"/>
        <v>-50.635771946825656</v>
      </c>
      <c r="N70" s="10">
        <f t="shared" si="74"/>
        <v>-51.056723092941404</v>
      </c>
      <c r="O70" s="11">
        <f t="shared" si="75"/>
        <v>-51.476087573268529</v>
      </c>
      <c r="P70" s="12">
        <f t="shared" si="76"/>
        <v>-51.89381174858179</v>
      </c>
      <c r="Q70" s="13">
        <f t="shared" si="77"/>
        <v>-52.309839835947926</v>
      </c>
      <c r="R70" s="14">
        <f t="shared" si="78"/>
        <v>-52.724113813288923</v>
      </c>
      <c r="S70" s="15">
        <f t="shared" si="79"/>
        <v>-53.136573319903036</v>
      </c>
      <c r="X70" s="9">
        <f t="shared" si="80"/>
        <v>-57.674903210004913</v>
      </c>
      <c r="Y70" s="10">
        <f t="shared" si="81"/>
        <v>-57.032406887972982</v>
      </c>
      <c r="Z70" s="11">
        <f t="shared" si="82"/>
        <v>-56.870829931065558</v>
      </c>
      <c r="AA70" s="12">
        <f t="shared" si="83"/>
        <v>-56.627772550866695</v>
      </c>
      <c r="AB70" s="13">
        <f t="shared" si="84"/>
        <v>-56.465280894749334</v>
      </c>
      <c r="AC70" s="14">
        <f t="shared" si="85"/>
        <v>-56.220876552133198</v>
      </c>
      <c r="AD70" s="15">
        <f t="shared" si="86"/>
        <v>-56.057503314233763</v>
      </c>
      <c r="AF70" s="9">
        <f t="shared" si="87"/>
        <v>-63.673392474436817</v>
      </c>
      <c r="AG70" s="10">
        <f t="shared" si="88"/>
        <v>-64.015580253806931</v>
      </c>
      <c r="AH70" s="11">
        <f t="shared" si="89"/>
        <v>-64.352950051121709</v>
      </c>
      <c r="AI70" s="12">
        <f t="shared" si="90"/>
        <v>-64.685308441752454</v>
      </c>
      <c r="AJ70" s="13">
        <f t="shared" si="91"/>
        <v>-65.012454673510689</v>
      </c>
      <c r="AK70" s="14">
        <f t="shared" si="92"/>
        <v>-65.33418058914107</v>
      </c>
      <c r="AL70" s="15">
        <f t="shared" si="93"/>
        <v>-65.650270583488265</v>
      </c>
      <c r="AQ70" s="9">
        <f t="shared" si="94"/>
        <v>-66.36376373430501</v>
      </c>
      <c r="AR70" s="10">
        <f t="shared" si="95"/>
        <v>-65.817798244686273</v>
      </c>
      <c r="AS70" s="11">
        <f t="shared" si="96"/>
        <v>-65.679239173931279</v>
      </c>
      <c r="AT70" s="12">
        <f t="shared" si="97"/>
        <v>-65.469906690476904</v>
      </c>
      <c r="AU70" s="13">
        <f t="shared" si="98"/>
        <v>-65.329375563690164</v>
      </c>
      <c r="AV70" s="14">
        <f t="shared" si="99"/>
        <v>-65.117147852595906</v>
      </c>
      <c r="AW70" s="15">
        <f t="shared" si="100"/>
        <v>-64.974727639567831</v>
      </c>
      <c r="AY70" s="9">
        <f t="shared" si="101"/>
        <v>-70.873767137767061</v>
      </c>
      <c r="AZ70" s="10">
        <f t="shared" si="102"/>
        <v>-71.082328084631826</v>
      </c>
      <c r="BA70" s="11">
        <f t="shared" si="103"/>
        <v>-71.280262793516485</v>
      </c>
      <c r="BB70" s="12">
        <f t="shared" si="104"/>
        <v>-71.467230411418271</v>
      </c>
      <c r="BC70" s="13">
        <f t="shared" si="105"/>
        <v>-71.642895479364924</v>
      </c>
      <c r="BD70" s="14">
        <f t="shared" si="106"/>
        <v>-71.806930262140412</v>
      </c>
      <c r="BE70" s="15">
        <f t="shared" si="107"/>
        <v>-71.959017206549774</v>
      </c>
      <c r="BJ70" s="9">
        <f t="shared" si="108"/>
        <v>-73.608425689284971</v>
      </c>
      <c r="BK70" s="10">
        <f t="shared" si="109"/>
        <v>-73.295148317048032</v>
      </c>
      <c r="BL70" s="11">
        <f t="shared" si="110"/>
        <v>-73.211926064170697</v>
      </c>
      <c r="BM70" s="12">
        <f t="shared" si="111"/>
        <v>-73.083531433340085</v>
      </c>
      <c r="BN70" s="13">
        <f t="shared" si="112"/>
        <v>-72.995602702461341</v>
      </c>
      <c r="BO70" s="14">
        <f t="shared" si="113"/>
        <v>-72.860282981228522</v>
      </c>
      <c r="BP70" s="15">
        <f t="shared" si="114"/>
        <v>-72.76782730489802</v>
      </c>
      <c r="BR70" s="9">
        <f t="shared" si="115"/>
        <v>-74.711459887411138</v>
      </c>
      <c r="BS70" s="10">
        <f t="shared" si="116"/>
        <v>-74.64730109678051</v>
      </c>
      <c r="BT70" s="11">
        <f t="shared" si="117"/>
        <v>-74.56758304021325</v>
      </c>
      <c r="BU70" s="12">
        <f t="shared" si="118"/>
        <v>-74.472545474018418</v>
      </c>
      <c r="BV70" s="13">
        <f t="shared" si="119"/>
        <v>-74.362467845830352</v>
      </c>
      <c r="BW70" s="14">
        <f t="shared" si="120"/>
        <v>-74.237665410381524</v>
      </c>
      <c r="BX70" s="15">
        <f t="shared" si="121"/>
        <v>-74.098485043208157</v>
      </c>
    </row>
    <row r="71" spans="1:76">
      <c r="A71">
        <f t="shared" si="122"/>
        <v>165</v>
      </c>
      <c r="B71">
        <f t="shared" si="72"/>
        <v>165</v>
      </c>
      <c r="E71" s="9">
        <f t="shared" si="65"/>
        <v>-45.12440114277328</v>
      </c>
      <c r="F71" s="10">
        <f t="shared" si="66"/>
        <v>-44.378992844282998</v>
      </c>
      <c r="G71" s="11">
        <f t="shared" si="67"/>
        <v>-44.192415597534932</v>
      </c>
      <c r="H71" s="12">
        <f t="shared" si="68"/>
        <v>-43.912385511657654</v>
      </c>
      <c r="I71" s="13">
        <f t="shared" si="69"/>
        <v>-43.725590936411209</v>
      </c>
      <c r="J71" s="14">
        <f t="shared" si="70"/>
        <v>-43.445240030528396</v>
      </c>
      <c r="K71" s="15">
        <f t="shared" si="71"/>
        <v>-43.258234962437001</v>
      </c>
      <c r="M71" s="9">
        <f t="shared" si="73"/>
        <v>-52.480775754132651</v>
      </c>
      <c r="N71" s="10">
        <f t="shared" si="74"/>
        <v>-52.93324239156388</v>
      </c>
      <c r="O71" s="11">
        <f t="shared" si="75"/>
        <v>-53.384651904327612</v>
      </c>
      <c r="P71" s="12">
        <f t="shared" si="76"/>
        <v>-53.83496394895149</v>
      </c>
      <c r="Q71" s="13">
        <f t="shared" si="77"/>
        <v>-54.284136261056496</v>
      </c>
      <c r="R71" s="14">
        <f t="shared" si="78"/>
        <v>-54.732124545951699</v>
      </c>
      <c r="S71" s="15">
        <f t="shared" si="79"/>
        <v>-55.178882362292221</v>
      </c>
      <c r="X71" s="9">
        <f t="shared" si="80"/>
        <v>-59.487965017079333</v>
      </c>
      <c r="Y71" s="10">
        <f t="shared" si="81"/>
        <v>-58.783598853957074</v>
      </c>
      <c r="Z71" s="11">
        <f t="shared" si="82"/>
        <v>-58.606861970575217</v>
      </c>
      <c r="AA71" s="12">
        <f t="shared" si="83"/>
        <v>-58.341290342253025</v>
      </c>
      <c r="AB71" s="13">
        <f t="shared" si="84"/>
        <v>-58.163937828921597</v>
      </c>
      <c r="AC71" s="14">
        <f t="shared" si="85"/>
        <v>-57.897462117010498</v>
      </c>
      <c r="AD71" s="15">
        <f t="shared" si="86"/>
        <v>-57.719519477672115</v>
      </c>
      <c r="AF71" s="9">
        <f t="shared" si="87"/>
        <v>-66.229092292820113</v>
      </c>
      <c r="AG71" s="10">
        <f t="shared" si="88"/>
        <v>-66.625985526483575</v>
      </c>
      <c r="AH71" s="11">
        <f t="shared" si="89"/>
        <v>-67.019083780979116</v>
      </c>
      <c r="AI71" s="12">
        <f t="shared" si="90"/>
        <v>-67.408188433152375</v>
      </c>
      <c r="AJ71" s="13">
        <f t="shared" si="91"/>
        <v>-67.793089039526507</v>
      </c>
      <c r="AK71" s="14">
        <f t="shared" si="92"/>
        <v>-68.173562678332956</v>
      </c>
      <c r="AL71" s="15">
        <f t="shared" si="93"/>
        <v>-68.54937327900096</v>
      </c>
      <c r="AQ71" s="9">
        <f t="shared" si="94"/>
        <v>-68.640118498653962</v>
      </c>
      <c r="AR71" s="10">
        <f t="shared" si="95"/>
        <v>-68.004294044949276</v>
      </c>
      <c r="AS71" s="11">
        <f t="shared" si="96"/>
        <v>-67.84375561499111</v>
      </c>
      <c r="AT71" s="12">
        <f t="shared" si="97"/>
        <v>-67.601816496593941</v>
      </c>
      <c r="AU71" s="13">
        <f t="shared" si="98"/>
        <v>-67.439788351368222</v>
      </c>
      <c r="AV71" s="14">
        <f t="shared" si="99"/>
        <v>-67.195674454986786</v>
      </c>
      <c r="AW71" s="15">
        <f t="shared" si="100"/>
        <v>-67.032235164649933</v>
      </c>
      <c r="AY71" s="9">
        <f t="shared" si="101"/>
        <v>-74.196733910815666</v>
      </c>
      <c r="AZ71" s="10">
        <f t="shared" si="102"/>
        <v>-74.475406245932362</v>
      </c>
      <c r="BA71" s="11">
        <f t="shared" si="103"/>
        <v>-74.743061261899868</v>
      </c>
      <c r="BB71" s="12">
        <f t="shared" si="104"/>
        <v>-74.999108923991031</v>
      </c>
      <c r="BC71" s="13">
        <f t="shared" si="105"/>
        <v>-75.242944750066144</v>
      </c>
      <c r="BD71" s="14">
        <f t="shared" si="106"/>
        <v>-75.473953496229342</v>
      </c>
      <c r="BE71" s="15">
        <f t="shared" si="107"/>
        <v>-75.691513625293908</v>
      </c>
      <c r="BJ71" s="9">
        <f t="shared" si="108"/>
        <v>-76.606509145195247</v>
      </c>
      <c r="BK71" s="10">
        <f t="shared" si="109"/>
        <v>-76.176185311485796</v>
      </c>
      <c r="BL71" s="11">
        <f t="shared" si="110"/>
        <v>-76.063600363924365</v>
      </c>
      <c r="BM71" s="12">
        <f t="shared" si="111"/>
        <v>-75.891162506081756</v>
      </c>
      <c r="BN71" s="13">
        <f t="shared" si="112"/>
        <v>-75.773897464321038</v>
      </c>
      <c r="BO71" s="14">
        <f t="shared" si="113"/>
        <v>-75.594652887645978</v>
      </c>
      <c r="BP71" s="15">
        <f t="shared" si="114"/>
        <v>-75.47298942404251</v>
      </c>
      <c r="BR71" s="9">
        <f t="shared" si="115"/>
        <v>-78.522941538381303</v>
      </c>
      <c r="BS71" s="10">
        <f t="shared" si="116"/>
        <v>-78.470155066783917</v>
      </c>
      <c r="BT71" s="11">
        <f t="shared" si="117"/>
        <v>-78.396331673900676</v>
      </c>
      <c r="BU71" s="12">
        <f t="shared" si="118"/>
        <v>-78.301869685473719</v>
      </c>
      <c r="BV71" s="13">
        <f t="shared" si="119"/>
        <v>-78.18726428415637</v>
      </c>
      <c r="BW71" s="14">
        <f t="shared" si="120"/>
        <v>-78.053095248657314</v>
      </c>
      <c r="BX71" s="15">
        <f t="shared" si="121"/>
        <v>-77.900013454804835</v>
      </c>
    </row>
    <row r="72" spans="1:76">
      <c r="A72">
        <f t="shared" si="122"/>
        <v>170</v>
      </c>
      <c r="B72">
        <f t="shared" si="72"/>
        <v>170</v>
      </c>
      <c r="E72" s="9">
        <f t="shared" si="65"/>
        <v>-46.155859371647033</v>
      </c>
      <c r="F72" s="10">
        <f t="shared" si="66"/>
        <v>-45.380850771879622</v>
      </c>
      <c r="G72" s="11">
        <f t="shared" si="67"/>
        <v>-45.186989852392081</v>
      </c>
      <c r="H72" s="12">
        <f t="shared" si="68"/>
        <v>-44.896119276548475</v>
      </c>
      <c r="I72" s="13">
        <f t="shared" si="69"/>
        <v>-44.702153589525771</v>
      </c>
      <c r="J72" s="14">
        <f t="shared" si="70"/>
        <v>-44.411128494372747</v>
      </c>
      <c r="K72" s="15">
        <f t="shared" si="71"/>
        <v>-44.217061515418933</v>
      </c>
      <c r="M72" s="9">
        <f t="shared" si="73"/>
        <v>-53.858061241359259</v>
      </c>
      <c r="N72" s="10">
        <f t="shared" si="74"/>
        <v>-54.335810285721394</v>
      </c>
      <c r="O72" s="11">
        <f t="shared" si="75"/>
        <v>-54.813023979452936</v>
      </c>
      <c r="P72" s="12">
        <f t="shared" si="76"/>
        <v>-55.289679885641704</v>
      </c>
      <c r="Q72" s="13">
        <f t="shared" si="77"/>
        <v>-55.765754351397206</v>
      </c>
      <c r="R72" s="14">
        <f t="shared" si="78"/>
        <v>-56.241222425911076</v>
      </c>
      <c r="S72" s="15">
        <f t="shared" si="79"/>
        <v>-56.716057772001598</v>
      </c>
      <c r="X72" s="9">
        <f t="shared" si="80"/>
        <v>-60.855596383945155</v>
      </c>
      <c r="Y72" s="10">
        <f t="shared" si="81"/>
        <v>-60.100741648371176</v>
      </c>
      <c r="Z72" s="11">
        <f t="shared" si="82"/>
        <v>-59.911696324850105</v>
      </c>
      <c r="AA72" s="12">
        <f t="shared" si="83"/>
        <v>-59.627889743011345</v>
      </c>
      <c r="AB72" s="13">
        <f t="shared" si="84"/>
        <v>-59.43852976440585</v>
      </c>
      <c r="AC72" s="14">
        <f t="shared" si="85"/>
        <v>-59.154262187754867</v>
      </c>
      <c r="AD72" s="15">
        <f t="shared" si="86"/>
        <v>-58.964602000973962</v>
      </c>
      <c r="AF72" s="9">
        <f t="shared" si="87"/>
        <v>-68.241804258810561</v>
      </c>
      <c r="AG72" s="10">
        <f t="shared" si="88"/>
        <v>-68.689673920274018</v>
      </c>
      <c r="AH72" s="11">
        <f t="shared" si="89"/>
        <v>-69.135287643489633</v>
      </c>
      <c r="AI72" s="12">
        <f t="shared" si="90"/>
        <v>-69.578497483227039</v>
      </c>
      <c r="AJ72" s="13">
        <f t="shared" si="91"/>
        <v>-70.019143208526685</v>
      </c>
      <c r="AK72" s="14">
        <f t="shared" si="92"/>
        <v>-70.457051113678048</v>
      </c>
      <c r="AL72" s="15">
        <f t="shared" si="93"/>
        <v>-70.892032706069259</v>
      </c>
      <c r="AQ72" s="9">
        <f t="shared" si="94"/>
        <v>-70.433401681505813</v>
      </c>
      <c r="AR72" s="10">
        <f t="shared" si="95"/>
        <v>-69.715535019636434</v>
      </c>
      <c r="AS72" s="11">
        <f t="shared" si="96"/>
        <v>-69.535155196999895</v>
      </c>
      <c r="AT72" s="12">
        <f t="shared" si="97"/>
        <v>-69.263939326064389</v>
      </c>
      <c r="AU72" s="13">
        <f t="shared" si="98"/>
        <v>-69.082711040013535</v>
      </c>
      <c r="AV72" s="14">
        <f t="shared" si="99"/>
        <v>-68.810263522561897</v>
      </c>
      <c r="AW72" s="15">
        <f t="shared" si="100"/>
        <v>-68.628240471513763</v>
      </c>
      <c r="AY72" s="9">
        <f t="shared" si="101"/>
        <v>-77.091741299868573</v>
      </c>
      <c r="AZ72" s="10">
        <f t="shared" si="102"/>
        <v>-77.457036858395</v>
      </c>
      <c r="BA72" s="11">
        <f t="shared" si="103"/>
        <v>-77.812922263470512</v>
      </c>
      <c r="BB72" s="12">
        <f t="shared" si="104"/>
        <v>-78.158548866117357</v>
      </c>
      <c r="BC72" s="13">
        <f t="shared" si="105"/>
        <v>-78.492992054121117</v>
      </c>
      <c r="BD72" s="14">
        <f t="shared" si="106"/>
        <v>-78.815248409308055</v>
      </c>
      <c r="BE72" s="15">
        <f t="shared" si="107"/>
        <v>-79.124234407871413</v>
      </c>
      <c r="BJ72" s="9">
        <f t="shared" si="108"/>
        <v>-79.259333438528714</v>
      </c>
      <c r="BK72" s="10">
        <f t="shared" si="109"/>
        <v>-78.684786548171999</v>
      </c>
      <c r="BL72" s="11">
        <f t="shared" si="110"/>
        <v>-78.536977186735072</v>
      </c>
      <c r="BM72" s="12">
        <f t="shared" si="111"/>
        <v>-78.312389134550415</v>
      </c>
      <c r="BN72" s="13">
        <f t="shared" si="112"/>
        <v>-78.160832580435354</v>
      </c>
      <c r="BO72" s="14">
        <f t="shared" si="113"/>
        <v>-77.930888960668113</v>
      </c>
      <c r="BP72" s="15">
        <f t="shared" si="114"/>
        <v>-77.77593037045402</v>
      </c>
      <c r="BR72" s="9">
        <f t="shared" si="115"/>
        <v>-82.343579408321503</v>
      </c>
      <c r="BS72" s="10">
        <f t="shared" si="116"/>
        <v>-82.299403715907829</v>
      </c>
      <c r="BT72" s="11">
        <f t="shared" si="117"/>
        <v>-82.223457103782309</v>
      </c>
      <c r="BU72" s="12">
        <f t="shared" si="118"/>
        <v>-82.116657770398575</v>
      </c>
      <c r="BV72" s="13">
        <f t="shared" si="119"/>
        <v>-81.980238257834358</v>
      </c>
      <c r="BW72" s="14">
        <f t="shared" si="120"/>
        <v>-81.815679642989437</v>
      </c>
      <c r="BX72" s="15">
        <f t="shared" si="121"/>
        <v>-81.62464044611589</v>
      </c>
    </row>
    <row r="73" spans="1:76">
      <c r="A73">
        <f t="shared" si="122"/>
        <v>175</v>
      </c>
      <c r="B73">
        <f t="shared" si="72"/>
        <v>175</v>
      </c>
      <c r="E73" s="9">
        <f t="shared" si="65"/>
        <v>-46.787322751445465</v>
      </c>
      <c r="F73" s="10">
        <f t="shared" si="66"/>
        <v>-45.993686768464535</v>
      </c>
      <c r="G73" s="11">
        <f t="shared" si="67"/>
        <v>-45.795249145273019</v>
      </c>
      <c r="H73" s="12">
        <f t="shared" si="68"/>
        <v>-45.497571888198429</v>
      </c>
      <c r="I73" s="13">
        <f t="shared" si="69"/>
        <v>-45.299106727080677</v>
      </c>
      <c r="J73" s="14">
        <f t="shared" si="70"/>
        <v>-45.001388878388035</v>
      </c>
      <c r="K73" s="15">
        <f t="shared" si="71"/>
        <v>-44.802897123437106</v>
      </c>
      <c r="M73" s="9">
        <f t="shared" si="73"/>
        <v>-54.710959410055253</v>
      </c>
      <c r="N73" s="10">
        <f t="shared" si="74"/>
        <v>-55.205209581088788</v>
      </c>
      <c r="O73" s="11">
        <f t="shared" si="75"/>
        <v>-55.699314356532554</v>
      </c>
      <c r="P73" s="12">
        <f t="shared" si="76"/>
        <v>-56.19326726910306</v>
      </c>
      <c r="Q73" s="13">
        <f t="shared" si="77"/>
        <v>-56.687061471789107</v>
      </c>
      <c r="R73" s="14">
        <f t="shared" si="78"/>
        <v>-57.180689709576747</v>
      </c>
      <c r="S73" s="15">
        <f t="shared" si="79"/>
        <v>-57.674144288628582</v>
      </c>
      <c r="X73" s="9">
        <f t="shared" si="80"/>
        <v>-61.709374028327787</v>
      </c>
      <c r="Y73" s="10">
        <f t="shared" si="81"/>
        <v>-60.921107680016483</v>
      </c>
      <c r="Z73" s="11">
        <f t="shared" si="82"/>
        <v>-60.723950091924365</v>
      </c>
      <c r="AA73" s="12">
        <f t="shared" si="83"/>
        <v>-60.428148435804907</v>
      </c>
      <c r="AB73" s="13">
        <f t="shared" si="84"/>
        <v>-60.230904831700741</v>
      </c>
      <c r="AC73" s="14">
        <f t="shared" si="85"/>
        <v>-59.934977360521735</v>
      </c>
      <c r="AD73" s="15">
        <f t="shared" si="86"/>
        <v>-59.737651954216552</v>
      </c>
      <c r="AF73" s="9">
        <f t="shared" si="87"/>
        <v>-69.54605515514838</v>
      </c>
      <c r="AG73" s="10">
        <f t="shared" si="88"/>
        <v>-70.031800462587455</v>
      </c>
      <c r="AH73" s="11">
        <f t="shared" si="89"/>
        <v>-70.516854669625587</v>
      </c>
      <c r="AI73" s="12">
        <f t="shared" si="90"/>
        <v>-71.001164770681982</v>
      </c>
      <c r="AJ73" s="13">
        <f t="shared" si="91"/>
        <v>-71.484672302001371</v>
      </c>
      <c r="AK73" s="14">
        <f t="shared" si="92"/>
        <v>-71.967312633837324</v>
      </c>
      <c r="AL73" s="15">
        <f t="shared" si="93"/>
        <v>-72.449014151966537</v>
      </c>
      <c r="AQ73" s="9">
        <f t="shared" si="94"/>
        <v>-71.595533868532655</v>
      </c>
      <c r="AR73" s="10">
        <f t="shared" si="95"/>
        <v>-70.817811093629814</v>
      </c>
      <c r="AS73" s="11">
        <f t="shared" si="96"/>
        <v>-70.623107222394381</v>
      </c>
      <c r="AT73" s="12">
        <f t="shared" si="97"/>
        <v>-70.330859725654435</v>
      </c>
      <c r="AU73" s="13">
        <f t="shared" si="98"/>
        <v>-70.135904660358406</v>
      </c>
      <c r="AV73" s="14">
        <f t="shared" si="99"/>
        <v>-69.843294131748777</v>
      </c>
      <c r="AW73" s="15">
        <f t="shared" si="100"/>
        <v>-69.648105810489241</v>
      </c>
      <c r="AY73" s="9">
        <f t="shared" si="101"/>
        <v>-79.198780628828516</v>
      </c>
      <c r="AZ73" s="10">
        <f t="shared" si="102"/>
        <v>-79.6544953580661</v>
      </c>
      <c r="BA73" s="11">
        <f t="shared" si="103"/>
        <v>-80.105980054174793</v>
      </c>
      <c r="BB73" s="12">
        <f t="shared" si="104"/>
        <v>-80.552628188031377</v>
      </c>
      <c r="BC73" s="13">
        <f t="shared" si="105"/>
        <v>-80.993720096231911</v>
      </c>
      <c r="BD73" s="14">
        <f t="shared" si="106"/>
        <v>-81.42839791543193</v>
      </c>
      <c r="BE73" s="15">
        <f t="shared" si="107"/>
        <v>-81.855634535395865</v>
      </c>
      <c r="BJ73" s="9">
        <f t="shared" si="108"/>
        <v>-81.233451730006635</v>
      </c>
      <c r="BK73" s="10">
        <f t="shared" si="109"/>
        <v>-80.507876571160466</v>
      </c>
      <c r="BL73" s="11">
        <f t="shared" si="110"/>
        <v>-80.324664527236038</v>
      </c>
      <c r="BM73" s="12">
        <f t="shared" si="111"/>
        <v>-80.048645567652855</v>
      </c>
      <c r="BN73" s="13">
        <f t="shared" si="112"/>
        <v>-79.863883205313329</v>
      </c>
      <c r="BO73" s="14">
        <f t="shared" si="113"/>
        <v>-79.585694890032798</v>
      </c>
      <c r="BP73" s="15">
        <f t="shared" si="114"/>
        <v>-79.399582152810154</v>
      </c>
      <c r="BR73" s="9">
        <f t="shared" si="115"/>
        <v>-86.170280149527301</v>
      </c>
      <c r="BS73" s="10">
        <f t="shared" si="116"/>
        <v>-86.123942765363751</v>
      </c>
      <c r="BT73" s="11">
        <f t="shared" si="117"/>
        <v>-86.01501054673929</v>
      </c>
      <c r="BU73" s="12">
        <f t="shared" si="118"/>
        <v>-85.848407796437257</v>
      </c>
      <c r="BV73" s="13">
        <f t="shared" si="119"/>
        <v>-85.63072658106465</v>
      </c>
      <c r="BW73" s="14">
        <f t="shared" si="120"/>
        <v>-85.369164445972643</v>
      </c>
      <c r="BX73" s="15">
        <f t="shared" si="121"/>
        <v>-85.070701797615001</v>
      </c>
    </row>
    <row r="74" spans="1:76">
      <c r="A74">
        <f t="shared" si="122"/>
        <v>180</v>
      </c>
      <c r="B74">
        <f t="shared" si="72"/>
        <v>180</v>
      </c>
      <c r="E74" s="9">
        <f t="shared" si="65"/>
        <v>-46.999999999999993</v>
      </c>
      <c r="F74" s="10">
        <f t="shared" si="66"/>
        <v>-46.199999999999996</v>
      </c>
      <c r="G74" s="11">
        <f t="shared" si="67"/>
        <v>-45.999999999999993</v>
      </c>
      <c r="H74" s="12">
        <f t="shared" si="68"/>
        <v>-45.7</v>
      </c>
      <c r="I74" s="13">
        <f t="shared" si="69"/>
        <v>-45.5</v>
      </c>
      <c r="J74" s="14">
        <f t="shared" si="70"/>
        <v>-45.20000000000001</v>
      </c>
      <c r="K74" s="15">
        <f t="shared" si="71"/>
        <v>-45</v>
      </c>
      <c r="M74" s="9">
        <f t="shared" si="73"/>
        <v>-55.000000000000007</v>
      </c>
      <c r="N74" s="10">
        <f t="shared" si="74"/>
        <v>-55.5</v>
      </c>
      <c r="O74" s="11">
        <f t="shared" si="75"/>
        <v>-55.999999999999993</v>
      </c>
      <c r="P74" s="12">
        <f t="shared" si="76"/>
        <v>-56.5</v>
      </c>
      <c r="Q74" s="13">
        <f t="shared" si="77"/>
        <v>-57.000000000000007</v>
      </c>
      <c r="R74" s="14">
        <f t="shared" si="78"/>
        <v>-57.5</v>
      </c>
      <c r="S74" s="15">
        <f t="shared" ref="S74" si="123">DEGREES(ASIN(COS(RADIANS(47.5))*SIN(RADIANS(-$C$2)) + SIN(RADIANS(47.5))*COS(RADIANS(-$C$2))*COS(RADIANS(A74))))</f>
        <v>-52.500000000000007</v>
      </c>
      <c r="X74" s="9">
        <f t="shared" si="80"/>
        <v>-62.000000000000014</v>
      </c>
      <c r="Y74" s="10">
        <f t="shared" si="81"/>
        <v>-61.199999999999982</v>
      </c>
      <c r="Z74" s="11">
        <f t="shared" si="82"/>
        <v>-61</v>
      </c>
      <c r="AA74" s="12">
        <f t="shared" si="83"/>
        <v>-60.7</v>
      </c>
      <c r="AB74" s="13">
        <f t="shared" si="84"/>
        <v>-60.5</v>
      </c>
      <c r="AC74" s="14">
        <f t="shared" si="85"/>
        <v>-60.20000000000001</v>
      </c>
      <c r="AD74" s="15">
        <f t="shared" si="86"/>
        <v>-59.999999999999993</v>
      </c>
      <c r="AF74" s="9">
        <f t="shared" si="87"/>
        <v>-70.000000000000014</v>
      </c>
      <c r="AG74" s="10">
        <f t="shared" si="88"/>
        <v>-70.500000000000028</v>
      </c>
      <c r="AH74" s="11">
        <f t="shared" si="89"/>
        <v>-71.000000000000028</v>
      </c>
      <c r="AI74" s="12">
        <f t="shared" si="90"/>
        <v>-71.5</v>
      </c>
      <c r="AJ74" s="13">
        <f t="shared" si="91"/>
        <v>-72.000000000000014</v>
      </c>
      <c r="AK74" s="14">
        <f t="shared" si="92"/>
        <v>-72.499999999999986</v>
      </c>
      <c r="AL74" s="15">
        <f t="shared" si="93"/>
        <v>-73.000000000000014</v>
      </c>
      <c r="AQ74" s="9">
        <f t="shared" si="94"/>
        <v>-72.000000000000014</v>
      </c>
      <c r="AR74" s="10">
        <f t="shared" si="95"/>
        <v>-71.200000000000017</v>
      </c>
      <c r="AS74" s="11">
        <f t="shared" si="96"/>
        <v>-71.000000000000028</v>
      </c>
      <c r="AT74" s="12">
        <f t="shared" si="97"/>
        <v>-70.700000000000017</v>
      </c>
      <c r="AU74" s="13">
        <f t="shared" si="98"/>
        <v>-70.500000000000028</v>
      </c>
      <c r="AV74" s="14">
        <f t="shared" si="99"/>
        <v>-70.2</v>
      </c>
      <c r="AW74" s="15">
        <f t="shared" si="100"/>
        <v>-70.000000000000014</v>
      </c>
      <c r="AY74" s="9">
        <f t="shared" si="101"/>
        <v>-80.000000000000028</v>
      </c>
      <c r="AZ74" s="10">
        <f t="shared" si="102"/>
        <v>-80.500000000000014</v>
      </c>
      <c r="BA74" s="11">
        <f t="shared" si="103"/>
        <v>-81.000000000000028</v>
      </c>
      <c r="BB74" s="12">
        <f t="shared" si="104"/>
        <v>-81.5</v>
      </c>
      <c r="BC74" s="13">
        <f t="shared" si="105"/>
        <v>-82.000000000000028</v>
      </c>
      <c r="BD74" s="14">
        <f t="shared" si="106"/>
        <v>-82.500000000000028</v>
      </c>
      <c r="BE74" s="15">
        <f t="shared" si="107"/>
        <v>-83.000000000000028</v>
      </c>
      <c r="BJ74" s="9">
        <f t="shared" si="108"/>
        <v>-81.999999999999943</v>
      </c>
      <c r="BK74" s="10">
        <f t="shared" si="109"/>
        <v>-81.199999999999946</v>
      </c>
      <c r="BL74" s="11">
        <f t="shared" si="110"/>
        <v>-81.000000000000014</v>
      </c>
      <c r="BM74" s="12">
        <f t="shared" si="111"/>
        <v>-80.699999999999989</v>
      </c>
      <c r="BN74" s="13">
        <f t="shared" si="112"/>
        <v>-80.499999999999943</v>
      </c>
      <c r="BO74" s="14">
        <f t="shared" si="113"/>
        <v>-80.200000000000017</v>
      </c>
      <c r="BP74" s="15">
        <f t="shared" si="114"/>
        <v>-79.999999999999943</v>
      </c>
      <c r="BR74" s="9">
        <f t="shared" si="115"/>
        <v>-90</v>
      </c>
      <c r="BS74" s="10">
        <f t="shared" si="116"/>
        <v>-89.499999999999403</v>
      </c>
      <c r="BT74" s="11">
        <f t="shared" si="117"/>
        <v>-89.000000000000099</v>
      </c>
      <c r="BU74" s="12">
        <f t="shared" si="118"/>
        <v>-88.499999999999716</v>
      </c>
      <c r="BV74" s="13">
        <f t="shared" si="119"/>
        <v>-87.999999999999872</v>
      </c>
      <c r="BW74" s="14">
        <f t="shared" si="120"/>
        <v>-87.499999999999901</v>
      </c>
      <c r="BX74" s="15">
        <f t="shared" si="121"/>
        <v>-86.999999999999844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Qasim Choudry (PUPIL-21)</dc:creator>
  <cp:keywords/>
  <dc:description/>
  <cp:lastModifiedBy/>
  <cp:revision/>
  <dcterms:created xsi:type="dcterms:W3CDTF">2025-07-25T14:50:20Z</dcterms:created>
  <dcterms:modified xsi:type="dcterms:W3CDTF">2026-09-21T01:22:11Z</dcterms:modified>
  <cp:category/>
  <cp:contentStatus/>
</cp:coreProperties>
</file>